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roject\MMM_Mobile\Assets\Data\Tables\"/>
    </mc:Choice>
  </mc:AlternateContent>
  <xr:revisionPtr revIDLastSave="0" documentId="13_ncr:1_{3637CF98-0582-416A-ADCB-25A2E7651C41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info" sheetId="7" r:id="rId1"/>
    <sheet name="적" sheetId="1" r:id="rId2"/>
    <sheet name="보스" sheetId="2" r:id="rId3"/>
    <sheet name="꼬마" sheetId="3" r:id="rId4"/>
    <sheet name="업그레이드" sheetId="4" r:id="rId5"/>
    <sheet name="스테이지" sheetId="5" r:id="rId6"/>
    <sheet name="리소스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03" i="5" l="1"/>
  <c r="R1003" i="5"/>
  <c r="S1002" i="5"/>
  <c r="R1002" i="5"/>
  <c r="S1001" i="5"/>
  <c r="R1001" i="5"/>
  <c r="S1000" i="5"/>
  <c r="R1000" i="5"/>
  <c r="S999" i="5"/>
  <c r="R999" i="5"/>
  <c r="S998" i="5"/>
  <c r="R998" i="5"/>
  <c r="S997" i="5"/>
  <c r="R997" i="5"/>
  <c r="S996" i="5"/>
  <c r="R996" i="5"/>
  <c r="S995" i="5"/>
  <c r="R995" i="5"/>
  <c r="S994" i="5"/>
  <c r="R994" i="5"/>
  <c r="S993" i="5"/>
  <c r="R993" i="5"/>
  <c r="S992" i="5"/>
  <c r="R992" i="5"/>
  <c r="S991" i="5"/>
  <c r="R991" i="5"/>
  <c r="S990" i="5"/>
  <c r="R990" i="5"/>
  <c r="S989" i="5"/>
  <c r="R989" i="5"/>
  <c r="S988" i="5"/>
  <c r="R988" i="5"/>
  <c r="S987" i="5"/>
  <c r="R987" i="5"/>
  <c r="S986" i="5"/>
  <c r="R986" i="5"/>
  <c r="S985" i="5"/>
  <c r="R985" i="5"/>
  <c r="S984" i="5"/>
  <c r="R984" i="5"/>
  <c r="S983" i="5"/>
  <c r="R983" i="5"/>
  <c r="S982" i="5"/>
  <c r="R982" i="5"/>
  <c r="S981" i="5"/>
  <c r="R981" i="5"/>
  <c r="S980" i="5"/>
  <c r="R980" i="5"/>
  <c r="S979" i="5"/>
  <c r="R979" i="5"/>
  <c r="S978" i="5"/>
  <c r="R978" i="5"/>
  <c r="S977" i="5"/>
  <c r="R977" i="5"/>
  <c r="S976" i="5"/>
  <c r="R976" i="5"/>
  <c r="S975" i="5"/>
  <c r="R975" i="5"/>
  <c r="S974" i="5"/>
  <c r="R974" i="5"/>
  <c r="S973" i="5"/>
  <c r="R973" i="5"/>
  <c r="S972" i="5"/>
  <c r="R972" i="5"/>
  <c r="S971" i="5"/>
  <c r="R971" i="5"/>
  <c r="S970" i="5"/>
  <c r="R970" i="5"/>
  <c r="S969" i="5"/>
  <c r="R969" i="5"/>
  <c r="S968" i="5"/>
  <c r="R968" i="5"/>
  <c r="S967" i="5"/>
  <c r="R967" i="5"/>
  <c r="S966" i="5"/>
  <c r="R966" i="5"/>
  <c r="S965" i="5"/>
  <c r="R965" i="5"/>
  <c r="S964" i="5"/>
  <c r="R964" i="5"/>
  <c r="S963" i="5"/>
  <c r="R963" i="5"/>
  <c r="S962" i="5"/>
  <c r="R962" i="5"/>
  <c r="S961" i="5"/>
  <c r="R961" i="5"/>
  <c r="S960" i="5"/>
  <c r="R960" i="5"/>
  <c r="S959" i="5"/>
  <c r="R959" i="5"/>
  <c r="S958" i="5"/>
  <c r="R958" i="5"/>
  <c r="S957" i="5"/>
  <c r="R957" i="5"/>
  <c r="S956" i="5"/>
  <c r="R956" i="5"/>
  <c r="S955" i="5"/>
  <c r="R955" i="5"/>
  <c r="S954" i="5"/>
  <c r="R954" i="5"/>
  <c r="S953" i="5"/>
  <c r="R953" i="5"/>
  <c r="S952" i="5"/>
  <c r="R952" i="5"/>
  <c r="S951" i="5"/>
  <c r="R951" i="5"/>
  <c r="S950" i="5"/>
  <c r="R950" i="5"/>
  <c r="S949" i="5"/>
  <c r="R949" i="5"/>
  <c r="S948" i="5"/>
  <c r="R948" i="5"/>
  <c r="S947" i="5"/>
  <c r="R947" i="5"/>
  <c r="S946" i="5"/>
  <c r="R946" i="5"/>
  <c r="S945" i="5"/>
  <c r="R945" i="5"/>
  <c r="S944" i="5"/>
  <c r="R944" i="5"/>
  <c r="S943" i="5"/>
  <c r="R943" i="5"/>
  <c r="S942" i="5"/>
  <c r="R942" i="5"/>
  <c r="S941" i="5"/>
  <c r="R941" i="5"/>
  <c r="S940" i="5"/>
  <c r="R940" i="5"/>
  <c r="S939" i="5"/>
  <c r="R939" i="5"/>
  <c r="S938" i="5"/>
  <c r="R938" i="5"/>
  <c r="S937" i="5"/>
  <c r="R937" i="5"/>
  <c r="S936" i="5"/>
  <c r="R936" i="5"/>
  <c r="S935" i="5"/>
  <c r="R935" i="5"/>
  <c r="S934" i="5"/>
  <c r="R934" i="5"/>
  <c r="S933" i="5"/>
  <c r="R933" i="5"/>
  <c r="S932" i="5"/>
  <c r="R932" i="5"/>
  <c r="S931" i="5"/>
  <c r="R931" i="5"/>
  <c r="S930" i="5"/>
  <c r="R930" i="5"/>
  <c r="S929" i="5"/>
  <c r="R929" i="5"/>
  <c r="S928" i="5"/>
  <c r="R928" i="5"/>
  <c r="S927" i="5"/>
  <c r="R927" i="5"/>
  <c r="S926" i="5"/>
  <c r="R926" i="5"/>
  <c r="S925" i="5"/>
  <c r="R925" i="5"/>
  <c r="S924" i="5"/>
  <c r="R924" i="5"/>
  <c r="S923" i="5"/>
  <c r="R923" i="5"/>
  <c r="S922" i="5"/>
  <c r="R922" i="5"/>
  <c r="S921" i="5"/>
  <c r="R921" i="5"/>
  <c r="S920" i="5"/>
  <c r="R920" i="5"/>
  <c r="S919" i="5"/>
  <c r="R919" i="5"/>
  <c r="S918" i="5"/>
  <c r="R918" i="5"/>
  <c r="S917" i="5"/>
  <c r="R917" i="5"/>
  <c r="S916" i="5"/>
  <c r="R916" i="5"/>
  <c r="S915" i="5"/>
  <c r="R915" i="5"/>
  <c r="S914" i="5"/>
  <c r="R914" i="5"/>
  <c r="S913" i="5"/>
  <c r="R913" i="5"/>
  <c r="S912" i="5"/>
  <c r="R912" i="5"/>
  <c r="S911" i="5"/>
  <c r="R911" i="5"/>
  <c r="S910" i="5"/>
  <c r="R910" i="5"/>
  <c r="S909" i="5"/>
  <c r="R909" i="5"/>
  <c r="S908" i="5"/>
  <c r="R908" i="5"/>
  <c r="S907" i="5"/>
  <c r="R907" i="5"/>
  <c r="S906" i="5"/>
  <c r="R906" i="5"/>
  <c r="S905" i="5"/>
  <c r="R905" i="5"/>
  <c r="S904" i="5"/>
  <c r="R904" i="5"/>
  <c r="S903" i="5"/>
  <c r="R903" i="5"/>
  <c r="S902" i="5"/>
  <c r="R902" i="5"/>
  <c r="S901" i="5"/>
  <c r="R901" i="5"/>
  <c r="S900" i="5"/>
  <c r="R900" i="5"/>
  <c r="S899" i="5"/>
  <c r="R899" i="5"/>
  <c r="S898" i="5"/>
  <c r="R898" i="5"/>
  <c r="S897" i="5"/>
  <c r="R897" i="5"/>
  <c r="S896" i="5"/>
  <c r="R896" i="5"/>
  <c r="S895" i="5"/>
  <c r="R895" i="5"/>
  <c r="S894" i="5"/>
  <c r="R894" i="5"/>
  <c r="S893" i="5"/>
  <c r="R893" i="5"/>
  <c r="S892" i="5"/>
  <c r="R892" i="5"/>
  <c r="S891" i="5"/>
  <c r="R891" i="5"/>
  <c r="S890" i="5"/>
  <c r="R890" i="5"/>
  <c r="S889" i="5"/>
  <c r="R889" i="5"/>
  <c r="S888" i="5"/>
  <c r="R888" i="5"/>
  <c r="S887" i="5"/>
  <c r="R887" i="5"/>
  <c r="S886" i="5"/>
  <c r="R886" i="5"/>
  <c r="S885" i="5"/>
  <c r="R885" i="5"/>
  <c r="S884" i="5"/>
  <c r="R884" i="5"/>
  <c r="S883" i="5"/>
  <c r="R883" i="5"/>
  <c r="S882" i="5"/>
  <c r="R882" i="5"/>
  <c r="S881" i="5"/>
  <c r="R881" i="5"/>
  <c r="S880" i="5"/>
  <c r="R880" i="5"/>
  <c r="S879" i="5"/>
  <c r="R879" i="5"/>
  <c r="S878" i="5"/>
  <c r="R878" i="5"/>
  <c r="S877" i="5"/>
  <c r="R877" i="5"/>
  <c r="S876" i="5"/>
  <c r="R876" i="5"/>
  <c r="S875" i="5"/>
  <c r="R875" i="5"/>
  <c r="S874" i="5"/>
  <c r="R874" i="5"/>
  <c r="S873" i="5"/>
  <c r="R873" i="5"/>
  <c r="S872" i="5"/>
  <c r="R872" i="5"/>
  <c r="S871" i="5"/>
  <c r="R871" i="5"/>
  <c r="S870" i="5"/>
  <c r="R870" i="5"/>
  <c r="S869" i="5"/>
  <c r="R869" i="5"/>
  <c r="S868" i="5"/>
  <c r="R868" i="5"/>
  <c r="S867" i="5"/>
  <c r="R867" i="5"/>
  <c r="S866" i="5"/>
  <c r="R866" i="5"/>
  <c r="S865" i="5"/>
  <c r="R865" i="5"/>
  <c r="S864" i="5"/>
  <c r="R864" i="5"/>
  <c r="S863" i="5"/>
  <c r="R863" i="5"/>
  <c r="S862" i="5"/>
  <c r="R862" i="5"/>
  <c r="S861" i="5"/>
  <c r="R861" i="5"/>
  <c r="S860" i="5"/>
  <c r="R860" i="5"/>
  <c r="S859" i="5"/>
  <c r="R859" i="5"/>
  <c r="S858" i="5"/>
  <c r="R858" i="5"/>
  <c r="S857" i="5"/>
  <c r="R857" i="5"/>
  <c r="S856" i="5"/>
  <c r="R856" i="5"/>
  <c r="S855" i="5"/>
  <c r="R855" i="5"/>
  <c r="S854" i="5"/>
  <c r="R854" i="5"/>
  <c r="S853" i="5"/>
  <c r="R853" i="5"/>
  <c r="S852" i="5"/>
  <c r="R852" i="5"/>
  <c r="S851" i="5"/>
  <c r="R851" i="5"/>
  <c r="S850" i="5"/>
  <c r="R850" i="5"/>
  <c r="S849" i="5"/>
  <c r="R849" i="5"/>
  <c r="S848" i="5"/>
  <c r="R848" i="5"/>
  <c r="S847" i="5"/>
  <c r="R847" i="5"/>
  <c r="S846" i="5"/>
  <c r="R846" i="5"/>
  <c r="S845" i="5"/>
  <c r="R845" i="5"/>
  <c r="S844" i="5"/>
  <c r="R844" i="5"/>
  <c r="S843" i="5"/>
  <c r="R843" i="5"/>
  <c r="S842" i="5"/>
  <c r="R842" i="5"/>
  <c r="S841" i="5"/>
  <c r="R841" i="5"/>
  <c r="S840" i="5"/>
  <c r="R840" i="5"/>
  <c r="S839" i="5"/>
  <c r="R839" i="5"/>
  <c r="S838" i="5"/>
  <c r="R838" i="5"/>
  <c r="S837" i="5"/>
  <c r="R837" i="5"/>
  <c r="S836" i="5"/>
  <c r="R836" i="5"/>
  <c r="S835" i="5"/>
  <c r="R835" i="5"/>
  <c r="S834" i="5"/>
  <c r="R834" i="5"/>
  <c r="S833" i="5"/>
  <c r="R833" i="5"/>
  <c r="S832" i="5"/>
  <c r="R832" i="5"/>
  <c r="S831" i="5"/>
  <c r="R831" i="5"/>
  <c r="S830" i="5"/>
  <c r="R830" i="5"/>
  <c r="S829" i="5"/>
  <c r="R829" i="5"/>
  <c r="S828" i="5"/>
  <c r="R828" i="5"/>
  <c r="S827" i="5"/>
  <c r="R827" i="5"/>
  <c r="S826" i="5"/>
  <c r="R826" i="5"/>
  <c r="S825" i="5"/>
  <c r="R825" i="5"/>
  <c r="S824" i="5"/>
  <c r="R824" i="5"/>
  <c r="S823" i="5"/>
  <c r="R823" i="5"/>
  <c r="S822" i="5"/>
  <c r="R822" i="5"/>
  <c r="S821" i="5"/>
  <c r="R821" i="5"/>
  <c r="S820" i="5"/>
  <c r="R820" i="5"/>
  <c r="S819" i="5"/>
  <c r="R819" i="5"/>
  <c r="S818" i="5"/>
  <c r="R818" i="5"/>
  <c r="S817" i="5"/>
  <c r="R817" i="5"/>
  <c r="S816" i="5"/>
  <c r="R816" i="5"/>
  <c r="S815" i="5"/>
  <c r="R815" i="5"/>
  <c r="S814" i="5"/>
  <c r="R814" i="5"/>
  <c r="S813" i="5"/>
  <c r="R813" i="5"/>
  <c r="S812" i="5"/>
  <c r="R812" i="5"/>
  <c r="S811" i="5"/>
  <c r="R811" i="5"/>
  <c r="S810" i="5"/>
  <c r="R810" i="5"/>
  <c r="S809" i="5"/>
  <c r="R809" i="5"/>
  <c r="S808" i="5"/>
  <c r="R808" i="5"/>
  <c r="S807" i="5"/>
  <c r="R807" i="5"/>
  <c r="S806" i="5"/>
  <c r="R806" i="5"/>
  <c r="S805" i="5"/>
  <c r="R805" i="5"/>
  <c r="S804" i="5"/>
  <c r="R804" i="5"/>
  <c r="S803" i="5"/>
  <c r="R803" i="5"/>
  <c r="S802" i="5"/>
  <c r="R802" i="5"/>
  <c r="S801" i="5"/>
  <c r="R801" i="5"/>
  <c r="S800" i="5"/>
  <c r="R800" i="5"/>
  <c r="S799" i="5"/>
  <c r="R799" i="5"/>
  <c r="S798" i="5"/>
  <c r="R798" i="5"/>
  <c r="S797" i="5"/>
  <c r="R797" i="5"/>
  <c r="S796" i="5"/>
  <c r="R796" i="5"/>
  <c r="S795" i="5"/>
  <c r="R795" i="5"/>
  <c r="S794" i="5"/>
  <c r="R794" i="5"/>
  <c r="S793" i="5"/>
  <c r="R793" i="5"/>
  <c r="S792" i="5"/>
  <c r="R792" i="5"/>
  <c r="S791" i="5"/>
  <c r="R791" i="5"/>
  <c r="S790" i="5"/>
  <c r="R790" i="5"/>
  <c r="S789" i="5"/>
  <c r="R789" i="5"/>
  <c r="S788" i="5"/>
  <c r="R788" i="5"/>
  <c r="S787" i="5"/>
  <c r="R787" i="5"/>
  <c r="S786" i="5"/>
  <c r="R786" i="5"/>
  <c r="S785" i="5"/>
  <c r="R785" i="5"/>
  <c r="S784" i="5"/>
  <c r="R784" i="5"/>
  <c r="S783" i="5"/>
  <c r="R783" i="5"/>
  <c r="S782" i="5"/>
  <c r="R782" i="5"/>
  <c r="S781" i="5"/>
  <c r="R781" i="5"/>
  <c r="S780" i="5"/>
  <c r="R780" i="5"/>
  <c r="S779" i="5"/>
  <c r="R779" i="5"/>
  <c r="S778" i="5"/>
  <c r="R778" i="5"/>
  <c r="S777" i="5"/>
  <c r="R777" i="5"/>
  <c r="S776" i="5"/>
  <c r="R776" i="5"/>
  <c r="S775" i="5"/>
  <c r="R775" i="5"/>
  <c r="S774" i="5"/>
  <c r="R774" i="5"/>
  <c r="S773" i="5"/>
  <c r="R773" i="5"/>
  <c r="S772" i="5"/>
  <c r="R772" i="5"/>
  <c r="S771" i="5"/>
  <c r="R771" i="5"/>
  <c r="S770" i="5"/>
  <c r="R770" i="5"/>
  <c r="S769" i="5"/>
  <c r="R769" i="5"/>
  <c r="S768" i="5"/>
  <c r="R768" i="5"/>
  <c r="S767" i="5"/>
  <c r="R767" i="5"/>
  <c r="S766" i="5"/>
  <c r="R766" i="5"/>
  <c r="S765" i="5"/>
  <c r="R765" i="5"/>
  <c r="S764" i="5"/>
  <c r="R764" i="5"/>
  <c r="S763" i="5"/>
  <c r="R763" i="5"/>
  <c r="S762" i="5"/>
  <c r="R762" i="5"/>
  <c r="S761" i="5"/>
  <c r="R761" i="5"/>
  <c r="S760" i="5"/>
  <c r="R760" i="5"/>
  <c r="S759" i="5"/>
  <c r="R759" i="5"/>
  <c r="S758" i="5"/>
  <c r="R758" i="5"/>
  <c r="S757" i="5"/>
  <c r="R757" i="5"/>
  <c r="S756" i="5"/>
  <c r="R756" i="5"/>
  <c r="S755" i="5"/>
  <c r="R755" i="5"/>
  <c r="S754" i="5"/>
  <c r="R754" i="5"/>
  <c r="S753" i="5"/>
  <c r="R753" i="5"/>
  <c r="S752" i="5"/>
  <c r="R752" i="5"/>
  <c r="S751" i="5"/>
  <c r="R751" i="5"/>
  <c r="S750" i="5"/>
  <c r="R750" i="5"/>
  <c r="S749" i="5"/>
  <c r="R749" i="5"/>
  <c r="S748" i="5"/>
  <c r="R748" i="5"/>
  <c r="S747" i="5"/>
  <c r="R747" i="5"/>
  <c r="S746" i="5"/>
  <c r="R746" i="5"/>
  <c r="S745" i="5"/>
  <c r="R745" i="5"/>
  <c r="S744" i="5"/>
  <c r="R744" i="5"/>
  <c r="S743" i="5"/>
  <c r="R743" i="5"/>
  <c r="S742" i="5"/>
  <c r="R742" i="5"/>
  <c r="S741" i="5"/>
  <c r="R741" i="5"/>
  <c r="S740" i="5"/>
  <c r="R740" i="5"/>
  <c r="S739" i="5"/>
  <c r="R739" i="5"/>
  <c r="S738" i="5"/>
  <c r="R738" i="5"/>
  <c r="S737" i="5"/>
  <c r="R737" i="5"/>
  <c r="S736" i="5"/>
  <c r="R736" i="5"/>
  <c r="S735" i="5"/>
  <c r="R735" i="5"/>
  <c r="S734" i="5"/>
  <c r="R734" i="5"/>
  <c r="S733" i="5"/>
  <c r="R733" i="5"/>
  <c r="S732" i="5"/>
  <c r="R732" i="5"/>
  <c r="S731" i="5"/>
  <c r="R731" i="5"/>
  <c r="S730" i="5"/>
  <c r="R730" i="5"/>
  <c r="S729" i="5"/>
  <c r="R729" i="5"/>
  <c r="S728" i="5"/>
  <c r="R728" i="5"/>
  <c r="S727" i="5"/>
  <c r="R727" i="5"/>
  <c r="S726" i="5"/>
  <c r="R726" i="5"/>
  <c r="S725" i="5"/>
  <c r="R725" i="5"/>
  <c r="S724" i="5"/>
  <c r="R724" i="5"/>
  <c r="S723" i="5"/>
  <c r="R723" i="5"/>
  <c r="S722" i="5"/>
  <c r="R722" i="5"/>
  <c r="S721" i="5"/>
  <c r="R721" i="5"/>
  <c r="S720" i="5"/>
  <c r="R720" i="5"/>
  <c r="S719" i="5"/>
  <c r="R719" i="5"/>
  <c r="S718" i="5"/>
  <c r="R718" i="5"/>
  <c r="S717" i="5"/>
  <c r="R717" i="5"/>
  <c r="S716" i="5"/>
  <c r="R716" i="5"/>
  <c r="S715" i="5"/>
  <c r="R715" i="5"/>
  <c r="S714" i="5"/>
  <c r="R714" i="5"/>
  <c r="S713" i="5"/>
  <c r="R713" i="5"/>
  <c r="S712" i="5"/>
  <c r="R712" i="5"/>
  <c r="S711" i="5"/>
  <c r="R711" i="5"/>
  <c r="S710" i="5"/>
  <c r="R710" i="5"/>
  <c r="S709" i="5"/>
  <c r="R709" i="5"/>
  <c r="S708" i="5"/>
  <c r="R708" i="5"/>
  <c r="S707" i="5"/>
  <c r="R707" i="5"/>
  <c r="S706" i="5"/>
  <c r="R706" i="5"/>
  <c r="S705" i="5"/>
  <c r="R705" i="5"/>
  <c r="S704" i="5"/>
  <c r="R704" i="5"/>
  <c r="S703" i="5"/>
  <c r="R703" i="5"/>
  <c r="S702" i="5"/>
  <c r="R702" i="5"/>
  <c r="S701" i="5"/>
  <c r="R701" i="5"/>
  <c r="S700" i="5"/>
  <c r="R700" i="5"/>
  <c r="S699" i="5"/>
  <c r="R699" i="5"/>
  <c r="S698" i="5"/>
  <c r="R698" i="5"/>
  <c r="S697" i="5"/>
  <c r="R697" i="5"/>
  <c r="S696" i="5"/>
  <c r="R696" i="5"/>
  <c r="S695" i="5"/>
  <c r="R695" i="5"/>
  <c r="S694" i="5"/>
  <c r="R694" i="5"/>
  <c r="S693" i="5"/>
  <c r="R693" i="5"/>
  <c r="S692" i="5"/>
  <c r="R692" i="5"/>
  <c r="S691" i="5"/>
  <c r="R691" i="5"/>
  <c r="S690" i="5"/>
  <c r="R690" i="5"/>
  <c r="S689" i="5"/>
  <c r="R689" i="5"/>
  <c r="S688" i="5"/>
  <c r="R688" i="5"/>
  <c r="S687" i="5"/>
  <c r="R687" i="5"/>
  <c r="S686" i="5"/>
  <c r="R686" i="5"/>
  <c r="S685" i="5"/>
  <c r="R685" i="5"/>
  <c r="S684" i="5"/>
  <c r="R684" i="5"/>
  <c r="S683" i="5"/>
  <c r="R683" i="5"/>
  <c r="S682" i="5"/>
  <c r="R682" i="5"/>
  <c r="S681" i="5"/>
  <c r="R681" i="5"/>
  <c r="S680" i="5"/>
  <c r="R680" i="5"/>
  <c r="S679" i="5"/>
  <c r="R679" i="5"/>
  <c r="S678" i="5"/>
  <c r="R678" i="5"/>
  <c r="S677" i="5"/>
  <c r="R677" i="5"/>
  <c r="S676" i="5"/>
  <c r="R676" i="5"/>
  <c r="S675" i="5"/>
  <c r="R675" i="5"/>
  <c r="S674" i="5"/>
  <c r="R674" i="5"/>
  <c r="S673" i="5"/>
  <c r="R673" i="5"/>
  <c r="S672" i="5"/>
  <c r="R672" i="5"/>
  <c r="S671" i="5"/>
  <c r="R671" i="5"/>
  <c r="S670" i="5"/>
  <c r="R670" i="5"/>
  <c r="S669" i="5"/>
  <c r="R669" i="5"/>
  <c r="S668" i="5"/>
  <c r="R668" i="5"/>
  <c r="S667" i="5"/>
  <c r="R667" i="5"/>
  <c r="S666" i="5"/>
  <c r="R666" i="5"/>
  <c r="S665" i="5"/>
  <c r="R665" i="5"/>
  <c r="S664" i="5"/>
  <c r="R664" i="5"/>
  <c r="S663" i="5"/>
  <c r="R663" i="5"/>
  <c r="S662" i="5"/>
  <c r="R662" i="5"/>
  <c r="S661" i="5"/>
  <c r="R661" i="5"/>
  <c r="S660" i="5"/>
  <c r="R660" i="5"/>
  <c r="S659" i="5"/>
  <c r="R659" i="5"/>
  <c r="S658" i="5"/>
  <c r="R658" i="5"/>
  <c r="S657" i="5"/>
  <c r="R657" i="5"/>
  <c r="S656" i="5"/>
  <c r="R656" i="5"/>
  <c r="S655" i="5"/>
  <c r="R655" i="5"/>
  <c r="S654" i="5"/>
  <c r="R654" i="5"/>
  <c r="S653" i="5"/>
  <c r="R653" i="5"/>
  <c r="S652" i="5"/>
  <c r="R652" i="5"/>
  <c r="S651" i="5"/>
  <c r="R651" i="5"/>
  <c r="S650" i="5"/>
  <c r="R650" i="5"/>
  <c r="S649" i="5"/>
  <c r="R649" i="5"/>
  <c r="S648" i="5"/>
  <c r="R648" i="5"/>
  <c r="S647" i="5"/>
  <c r="R647" i="5"/>
  <c r="S646" i="5"/>
  <c r="R646" i="5"/>
  <c r="S645" i="5"/>
  <c r="R645" i="5"/>
  <c r="S644" i="5"/>
  <c r="R644" i="5"/>
  <c r="S643" i="5"/>
  <c r="R643" i="5"/>
  <c r="S642" i="5"/>
  <c r="R642" i="5"/>
  <c r="S641" i="5"/>
  <c r="R641" i="5"/>
  <c r="S640" i="5"/>
  <c r="R640" i="5"/>
  <c r="S639" i="5"/>
  <c r="R639" i="5"/>
  <c r="S638" i="5"/>
  <c r="R638" i="5"/>
  <c r="S637" i="5"/>
  <c r="R637" i="5"/>
  <c r="S636" i="5"/>
  <c r="R636" i="5"/>
  <c r="S635" i="5"/>
  <c r="R635" i="5"/>
  <c r="S634" i="5"/>
  <c r="R634" i="5"/>
  <c r="S633" i="5"/>
  <c r="R633" i="5"/>
  <c r="S632" i="5"/>
  <c r="R632" i="5"/>
  <c r="S631" i="5"/>
  <c r="R631" i="5"/>
  <c r="S630" i="5"/>
  <c r="R630" i="5"/>
  <c r="S629" i="5"/>
  <c r="R629" i="5"/>
  <c r="S628" i="5"/>
  <c r="R628" i="5"/>
  <c r="S627" i="5"/>
  <c r="R627" i="5"/>
  <c r="S626" i="5"/>
  <c r="R626" i="5"/>
  <c r="S625" i="5"/>
  <c r="R625" i="5"/>
  <c r="S624" i="5"/>
  <c r="R624" i="5"/>
  <c r="S623" i="5"/>
  <c r="R623" i="5"/>
  <c r="S622" i="5"/>
  <c r="R622" i="5"/>
  <c r="S621" i="5"/>
  <c r="R621" i="5"/>
  <c r="S620" i="5"/>
  <c r="R620" i="5"/>
  <c r="S619" i="5"/>
  <c r="R619" i="5"/>
  <c r="S618" i="5"/>
  <c r="R618" i="5"/>
  <c r="S617" i="5"/>
  <c r="R617" i="5"/>
  <c r="S616" i="5"/>
  <c r="R616" i="5"/>
  <c r="S615" i="5"/>
  <c r="R615" i="5"/>
  <c r="S614" i="5"/>
  <c r="R614" i="5"/>
  <c r="S613" i="5"/>
  <c r="R613" i="5"/>
  <c r="S612" i="5"/>
  <c r="R612" i="5"/>
  <c r="S611" i="5"/>
  <c r="R611" i="5"/>
  <c r="S610" i="5"/>
  <c r="R610" i="5"/>
  <c r="S609" i="5"/>
  <c r="R609" i="5"/>
  <c r="S608" i="5"/>
  <c r="R608" i="5"/>
  <c r="S607" i="5"/>
  <c r="R607" i="5"/>
  <c r="S606" i="5"/>
  <c r="R606" i="5"/>
  <c r="S605" i="5"/>
  <c r="R605" i="5"/>
  <c r="S604" i="5"/>
  <c r="R604" i="5"/>
  <c r="S603" i="5"/>
  <c r="R603" i="5"/>
  <c r="S602" i="5"/>
  <c r="R602" i="5"/>
  <c r="S601" i="5"/>
  <c r="R601" i="5"/>
  <c r="S600" i="5"/>
  <c r="R600" i="5"/>
  <c r="S599" i="5"/>
  <c r="R599" i="5"/>
  <c r="S598" i="5"/>
  <c r="R598" i="5"/>
  <c r="S597" i="5"/>
  <c r="R597" i="5"/>
  <c r="S596" i="5"/>
  <c r="R596" i="5"/>
  <c r="S595" i="5"/>
  <c r="R595" i="5"/>
  <c r="S594" i="5"/>
  <c r="R594" i="5"/>
  <c r="S593" i="5"/>
  <c r="R593" i="5"/>
  <c r="S592" i="5"/>
  <c r="R592" i="5"/>
  <c r="S591" i="5"/>
  <c r="R591" i="5"/>
  <c r="S590" i="5"/>
  <c r="R590" i="5"/>
  <c r="S589" i="5"/>
  <c r="R589" i="5"/>
  <c r="S588" i="5"/>
  <c r="R588" i="5"/>
  <c r="S587" i="5"/>
  <c r="R587" i="5"/>
  <c r="S586" i="5"/>
  <c r="R586" i="5"/>
  <c r="S585" i="5"/>
  <c r="R585" i="5"/>
  <c r="S584" i="5"/>
  <c r="R584" i="5"/>
  <c r="S583" i="5"/>
  <c r="R583" i="5"/>
  <c r="S582" i="5"/>
  <c r="R582" i="5"/>
  <c r="S581" i="5"/>
  <c r="R581" i="5"/>
  <c r="S580" i="5"/>
  <c r="R580" i="5"/>
  <c r="S579" i="5"/>
  <c r="R579" i="5"/>
  <c r="S578" i="5"/>
  <c r="R578" i="5"/>
  <c r="S577" i="5"/>
  <c r="R577" i="5"/>
  <c r="S576" i="5"/>
  <c r="R576" i="5"/>
  <c r="S575" i="5"/>
  <c r="R575" i="5"/>
  <c r="S574" i="5"/>
  <c r="R574" i="5"/>
  <c r="S573" i="5"/>
  <c r="R573" i="5"/>
  <c r="S572" i="5"/>
  <c r="R572" i="5"/>
  <c r="S571" i="5"/>
  <c r="R571" i="5"/>
  <c r="S570" i="5"/>
  <c r="R570" i="5"/>
  <c r="S569" i="5"/>
  <c r="R569" i="5"/>
  <c r="S568" i="5"/>
  <c r="R568" i="5"/>
  <c r="S567" i="5"/>
  <c r="R567" i="5"/>
  <c r="S566" i="5"/>
  <c r="R566" i="5"/>
  <c r="S565" i="5"/>
  <c r="R565" i="5"/>
  <c r="S564" i="5"/>
  <c r="R564" i="5"/>
  <c r="S563" i="5"/>
  <c r="R563" i="5"/>
  <c r="S562" i="5"/>
  <c r="R562" i="5"/>
  <c r="S561" i="5"/>
  <c r="R561" i="5"/>
  <c r="S560" i="5"/>
  <c r="R560" i="5"/>
  <c r="S559" i="5"/>
  <c r="R559" i="5"/>
  <c r="S558" i="5"/>
  <c r="R558" i="5"/>
  <c r="S557" i="5"/>
  <c r="R557" i="5"/>
  <c r="S556" i="5"/>
  <c r="R556" i="5"/>
  <c r="S555" i="5"/>
  <c r="R555" i="5"/>
  <c r="S554" i="5"/>
  <c r="R554" i="5"/>
  <c r="S553" i="5"/>
  <c r="R553" i="5"/>
  <c r="S552" i="5"/>
  <c r="R552" i="5"/>
  <c r="S551" i="5"/>
  <c r="R551" i="5"/>
  <c r="S550" i="5"/>
  <c r="R550" i="5"/>
  <c r="S549" i="5"/>
  <c r="R549" i="5"/>
  <c r="S548" i="5"/>
  <c r="R548" i="5"/>
  <c r="S547" i="5"/>
  <c r="R547" i="5"/>
  <c r="S546" i="5"/>
  <c r="R546" i="5"/>
  <c r="S545" i="5"/>
  <c r="R545" i="5"/>
  <c r="S544" i="5"/>
  <c r="R544" i="5"/>
  <c r="S543" i="5"/>
  <c r="R543" i="5"/>
  <c r="S542" i="5"/>
  <c r="R542" i="5"/>
  <c r="S541" i="5"/>
  <c r="R541" i="5"/>
  <c r="S540" i="5"/>
  <c r="R540" i="5"/>
  <c r="S539" i="5"/>
  <c r="R539" i="5"/>
  <c r="S538" i="5"/>
  <c r="R538" i="5"/>
  <c r="S537" i="5"/>
  <c r="R537" i="5"/>
  <c r="S536" i="5"/>
  <c r="R536" i="5"/>
  <c r="S535" i="5"/>
  <c r="R535" i="5"/>
  <c r="S534" i="5"/>
  <c r="R534" i="5"/>
  <c r="S533" i="5"/>
  <c r="R533" i="5"/>
  <c r="S532" i="5"/>
  <c r="R532" i="5"/>
  <c r="S531" i="5"/>
  <c r="R531" i="5"/>
  <c r="S530" i="5"/>
  <c r="R530" i="5"/>
  <c r="S529" i="5"/>
  <c r="R529" i="5"/>
  <c r="S528" i="5"/>
  <c r="R528" i="5"/>
  <c r="S527" i="5"/>
  <c r="R527" i="5"/>
  <c r="S526" i="5"/>
  <c r="R526" i="5"/>
  <c r="S525" i="5"/>
  <c r="R525" i="5"/>
  <c r="S524" i="5"/>
  <c r="R524" i="5"/>
  <c r="S523" i="5"/>
  <c r="R523" i="5"/>
  <c r="S522" i="5"/>
  <c r="R522" i="5"/>
  <c r="S521" i="5"/>
  <c r="R521" i="5"/>
  <c r="S520" i="5"/>
  <c r="R520" i="5"/>
  <c r="S519" i="5"/>
  <c r="R519" i="5"/>
  <c r="S518" i="5"/>
  <c r="R518" i="5"/>
  <c r="S517" i="5"/>
  <c r="R517" i="5"/>
  <c r="S516" i="5"/>
  <c r="R516" i="5"/>
  <c r="S515" i="5"/>
  <c r="R515" i="5"/>
  <c r="S514" i="5"/>
  <c r="R514" i="5"/>
  <c r="S513" i="5"/>
  <c r="R513" i="5"/>
  <c r="S512" i="5"/>
  <c r="R512" i="5"/>
  <c r="S511" i="5"/>
  <c r="R511" i="5"/>
  <c r="S510" i="5"/>
  <c r="R510" i="5"/>
  <c r="S509" i="5"/>
  <c r="R509" i="5"/>
  <c r="S508" i="5"/>
  <c r="R508" i="5"/>
  <c r="S507" i="5"/>
  <c r="R507" i="5"/>
  <c r="S506" i="5"/>
  <c r="R506" i="5"/>
  <c r="S505" i="5"/>
  <c r="R505" i="5"/>
  <c r="S504" i="5"/>
  <c r="R504" i="5"/>
  <c r="S503" i="5"/>
  <c r="R503" i="5"/>
  <c r="S502" i="5"/>
  <c r="R502" i="5"/>
  <c r="S501" i="5"/>
  <c r="R501" i="5"/>
  <c r="S500" i="5"/>
  <c r="R500" i="5"/>
  <c r="S499" i="5"/>
  <c r="R499" i="5"/>
  <c r="S498" i="5"/>
  <c r="R498" i="5"/>
  <c r="S497" i="5"/>
  <c r="R497" i="5"/>
  <c r="S496" i="5"/>
  <c r="R496" i="5"/>
  <c r="S495" i="5"/>
  <c r="R495" i="5"/>
  <c r="S494" i="5"/>
  <c r="R494" i="5"/>
  <c r="S493" i="5"/>
  <c r="R493" i="5"/>
  <c r="S492" i="5"/>
  <c r="R492" i="5"/>
  <c r="S491" i="5"/>
  <c r="R491" i="5"/>
  <c r="S490" i="5"/>
  <c r="R490" i="5"/>
  <c r="S489" i="5"/>
  <c r="R489" i="5"/>
  <c r="S488" i="5"/>
  <c r="R488" i="5"/>
  <c r="S487" i="5"/>
  <c r="R487" i="5"/>
  <c r="S486" i="5"/>
  <c r="R486" i="5"/>
  <c r="S485" i="5"/>
  <c r="R485" i="5"/>
  <c r="S484" i="5"/>
  <c r="R484" i="5"/>
  <c r="S483" i="5"/>
  <c r="R483" i="5"/>
  <c r="S482" i="5"/>
  <c r="R482" i="5"/>
  <c r="S481" i="5"/>
  <c r="R481" i="5"/>
  <c r="S480" i="5"/>
  <c r="R480" i="5"/>
  <c r="S479" i="5"/>
  <c r="R479" i="5"/>
  <c r="S478" i="5"/>
  <c r="R478" i="5"/>
  <c r="S477" i="5"/>
  <c r="R477" i="5"/>
  <c r="S476" i="5"/>
  <c r="R476" i="5"/>
  <c r="S475" i="5"/>
  <c r="R475" i="5"/>
  <c r="S474" i="5"/>
  <c r="R474" i="5"/>
  <c r="S473" i="5"/>
  <c r="R473" i="5"/>
  <c r="S472" i="5"/>
  <c r="R472" i="5"/>
  <c r="S471" i="5"/>
  <c r="R471" i="5"/>
  <c r="S470" i="5"/>
  <c r="R470" i="5"/>
  <c r="S469" i="5"/>
  <c r="R469" i="5"/>
  <c r="S468" i="5"/>
  <c r="R468" i="5"/>
  <c r="S467" i="5"/>
  <c r="R467" i="5"/>
  <c r="S466" i="5"/>
  <c r="R466" i="5"/>
  <c r="S465" i="5"/>
  <c r="R465" i="5"/>
  <c r="S464" i="5"/>
  <c r="R464" i="5"/>
  <c r="S463" i="5"/>
  <c r="R463" i="5"/>
  <c r="S462" i="5"/>
  <c r="R462" i="5"/>
  <c r="S461" i="5"/>
  <c r="R461" i="5"/>
  <c r="S460" i="5"/>
  <c r="R460" i="5"/>
  <c r="S459" i="5"/>
  <c r="R459" i="5"/>
  <c r="S458" i="5"/>
  <c r="R458" i="5"/>
  <c r="S457" i="5"/>
  <c r="R457" i="5"/>
  <c r="S456" i="5"/>
  <c r="R456" i="5"/>
  <c r="S455" i="5"/>
  <c r="R455" i="5"/>
  <c r="S454" i="5"/>
  <c r="R454" i="5"/>
  <c r="S453" i="5"/>
  <c r="R453" i="5"/>
  <c r="S452" i="5"/>
  <c r="R452" i="5"/>
  <c r="S451" i="5"/>
  <c r="R451" i="5"/>
  <c r="S450" i="5"/>
  <c r="R450" i="5"/>
  <c r="S449" i="5"/>
  <c r="R449" i="5"/>
  <c r="S448" i="5"/>
  <c r="R448" i="5"/>
  <c r="S447" i="5"/>
  <c r="R447" i="5"/>
  <c r="S446" i="5"/>
  <c r="R446" i="5"/>
  <c r="S445" i="5"/>
  <c r="R445" i="5"/>
  <c r="S444" i="5"/>
  <c r="R444" i="5"/>
  <c r="S443" i="5"/>
  <c r="R443" i="5"/>
  <c r="S442" i="5"/>
  <c r="R442" i="5"/>
  <c r="S441" i="5"/>
  <c r="R441" i="5"/>
  <c r="S440" i="5"/>
  <c r="R440" i="5"/>
  <c r="S439" i="5"/>
  <c r="R439" i="5"/>
  <c r="S438" i="5"/>
  <c r="R438" i="5"/>
  <c r="S437" i="5"/>
  <c r="R437" i="5"/>
  <c r="S436" i="5"/>
  <c r="R436" i="5"/>
  <c r="S435" i="5"/>
  <c r="R435" i="5"/>
  <c r="S434" i="5"/>
  <c r="R434" i="5"/>
  <c r="S433" i="5"/>
  <c r="R433" i="5"/>
  <c r="S432" i="5"/>
  <c r="R432" i="5"/>
  <c r="S431" i="5"/>
  <c r="R431" i="5"/>
  <c r="S430" i="5"/>
  <c r="R430" i="5"/>
  <c r="S429" i="5"/>
  <c r="R429" i="5"/>
  <c r="S428" i="5"/>
  <c r="R428" i="5"/>
  <c r="S427" i="5"/>
  <c r="R427" i="5"/>
  <c r="S426" i="5"/>
  <c r="R426" i="5"/>
  <c r="S425" i="5"/>
  <c r="R425" i="5"/>
  <c r="S424" i="5"/>
  <c r="R424" i="5"/>
  <c r="S423" i="5"/>
  <c r="R423" i="5"/>
  <c r="S422" i="5"/>
  <c r="R422" i="5"/>
  <c r="S421" i="5"/>
  <c r="R421" i="5"/>
  <c r="S420" i="5"/>
  <c r="R420" i="5"/>
  <c r="S419" i="5"/>
  <c r="R419" i="5"/>
  <c r="S418" i="5"/>
  <c r="R418" i="5"/>
  <c r="S417" i="5"/>
  <c r="R417" i="5"/>
  <c r="S416" i="5"/>
  <c r="R416" i="5"/>
  <c r="S415" i="5"/>
  <c r="R415" i="5"/>
  <c r="S414" i="5"/>
  <c r="R414" i="5"/>
  <c r="S413" i="5"/>
  <c r="R413" i="5"/>
  <c r="S412" i="5"/>
  <c r="R412" i="5"/>
  <c r="S411" i="5"/>
  <c r="R411" i="5"/>
  <c r="S410" i="5"/>
  <c r="R410" i="5"/>
  <c r="S409" i="5"/>
  <c r="R409" i="5"/>
  <c r="S408" i="5"/>
  <c r="R408" i="5"/>
  <c r="S407" i="5"/>
  <c r="R407" i="5"/>
  <c r="S406" i="5"/>
  <c r="R406" i="5"/>
  <c r="S405" i="5"/>
  <c r="R405" i="5"/>
  <c r="S404" i="5"/>
  <c r="R404" i="5"/>
  <c r="S403" i="5"/>
  <c r="R403" i="5"/>
  <c r="S402" i="5"/>
  <c r="R402" i="5"/>
  <c r="S401" i="5"/>
  <c r="R401" i="5"/>
  <c r="S400" i="5"/>
  <c r="R400" i="5"/>
  <c r="S399" i="5"/>
  <c r="R399" i="5"/>
  <c r="S398" i="5"/>
  <c r="R398" i="5"/>
  <c r="S397" i="5"/>
  <c r="R397" i="5"/>
  <c r="S396" i="5"/>
  <c r="R396" i="5"/>
  <c r="S395" i="5"/>
  <c r="R395" i="5"/>
  <c r="S394" i="5"/>
  <c r="R394" i="5"/>
  <c r="S393" i="5"/>
  <c r="R393" i="5"/>
  <c r="S392" i="5"/>
  <c r="R392" i="5"/>
  <c r="S391" i="5"/>
  <c r="R391" i="5"/>
  <c r="S390" i="5"/>
  <c r="R390" i="5"/>
  <c r="S389" i="5"/>
  <c r="R389" i="5"/>
  <c r="S388" i="5"/>
  <c r="R388" i="5"/>
  <c r="S387" i="5"/>
  <c r="R387" i="5"/>
  <c r="S386" i="5"/>
  <c r="R386" i="5"/>
  <c r="S385" i="5"/>
  <c r="R385" i="5"/>
  <c r="S384" i="5"/>
  <c r="R384" i="5"/>
  <c r="S383" i="5"/>
  <c r="R383" i="5"/>
  <c r="S382" i="5"/>
  <c r="R382" i="5"/>
  <c r="S381" i="5"/>
  <c r="R381" i="5"/>
  <c r="S380" i="5"/>
  <c r="R380" i="5"/>
  <c r="S379" i="5"/>
  <c r="R379" i="5"/>
  <c r="S378" i="5"/>
  <c r="R378" i="5"/>
  <c r="S377" i="5"/>
  <c r="R377" i="5"/>
  <c r="S376" i="5"/>
  <c r="R376" i="5"/>
  <c r="S375" i="5"/>
  <c r="R375" i="5"/>
  <c r="S374" i="5"/>
  <c r="R374" i="5"/>
  <c r="S373" i="5"/>
  <c r="R373" i="5"/>
  <c r="S372" i="5"/>
  <c r="R372" i="5"/>
  <c r="S371" i="5"/>
  <c r="R371" i="5"/>
  <c r="S370" i="5"/>
  <c r="R370" i="5"/>
  <c r="S369" i="5"/>
  <c r="R369" i="5"/>
  <c r="S368" i="5"/>
  <c r="R368" i="5"/>
  <c r="S367" i="5"/>
  <c r="R367" i="5"/>
  <c r="S366" i="5"/>
  <c r="R366" i="5"/>
  <c r="S365" i="5"/>
  <c r="R365" i="5"/>
  <c r="S364" i="5"/>
  <c r="R364" i="5"/>
  <c r="S363" i="5"/>
  <c r="R363" i="5"/>
  <c r="S362" i="5"/>
  <c r="R362" i="5"/>
  <c r="S361" i="5"/>
  <c r="R361" i="5"/>
  <c r="S360" i="5"/>
  <c r="R360" i="5"/>
  <c r="S359" i="5"/>
  <c r="R359" i="5"/>
  <c r="S358" i="5"/>
  <c r="R358" i="5"/>
  <c r="S357" i="5"/>
  <c r="R357" i="5"/>
  <c r="S356" i="5"/>
  <c r="R356" i="5"/>
  <c r="S355" i="5"/>
  <c r="R355" i="5"/>
  <c r="S354" i="5"/>
  <c r="R354" i="5"/>
  <c r="S353" i="5"/>
  <c r="R353" i="5"/>
  <c r="S352" i="5"/>
  <c r="R352" i="5"/>
  <c r="S351" i="5"/>
  <c r="R351" i="5"/>
  <c r="S350" i="5"/>
  <c r="R350" i="5"/>
  <c r="S349" i="5"/>
  <c r="R349" i="5"/>
  <c r="S348" i="5"/>
  <c r="R348" i="5"/>
  <c r="S347" i="5"/>
  <c r="R347" i="5"/>
  <c r="S346" i="5"/>
  <c r="R346" i="5"/>
  <c r="S345" i="5"/>
  <c r="R345" i="5"/>
  <c r="S344" i="5"/>
  <c r="R344" i="5"/>
  <c r="S343" i="5"/>
  <c r="R343" i="5"/>
  <c r="S342" i="5"/>
  <c r="R342" i="5"/>
  <c r="S341" i="5"/>
  <c r="R341" i="5"/>
  <c r="S340" i="5"/>
  <c r="R340" i="5"/>
  <c r="S339" i="5"/>
  <c r="R339" i="5"/>
  <c r="S338" i="5"/>
  <c r="R338" i="5"/>
  <c r="S337" i="5"/>
  <c r="R337" i="5"/>
  <c r="S336" i="5"/>
  <c r="R336" i="5"/>
  <c r="S335" i="5"/>
  <c r="R335" i="5"/>
  <c r="S334" i="5"/>
  <c r="R334" i="5"/>
  <c r="S333" i="5"/>
  <c r="R333" i="5"/>
  <c r="S332" i="5"/>
  <c r="R332" i="5"/>
  <c r="S331" i="5"/>
  <c r="R331" i="5"/>
  <c r="S330" i="5"/>
  <c r="R330" i="5"/>
  <c r="S329" i="5"/>
  <c r="R329" i="5"/>
  <c r="S328" i="5"/>
  <c r="R328" i="5"/>
  <c r="S327" i="5"/>
  <c r="R327" i="5"/>
  <c r="S326" i="5"/>
  <c r="R326" i="5"/>
  <c r="S325" i="5"/>
  <c r="R325" i="5"/>
  <c r="S324" i="5"/>
  <c r="R324" i="5"/>
  <c r="S323" i="5"/>
  <c r="R323" i="5"/>
  <c r="S322" i="5"/>
  <c r="R322" i="5"/>
  <c r="S321" i="5"/>
  <c r="R321" i="5"/>
  <c r="S320" i="5"/>
  <c r="R320" i="5"/>
  <c r="S319" i="5"/>
  <c r="R319" i="5"/>
  <c r="S318" i="5"/>
  <c r="R318" i="5"/>
  <c r="S317" i="5"/>
  <c r="R317" i="5"/>
  <c r="S316" i="5"/>
  <c r="R316" i="5"/>
  <c r="S315" i="5"/>
  <c r="R315" i="5"/>
  <c r="S314" i="5"/>
  <c r="R314" i="5"/>
  <c r="S313" i="5"/>
  <c r="R313" i="5"/>
  <c r="S312" i="5"/>
  <c r="R312" i="5"/>
  <c r="S311" i="5"/>
  <c r="R311" i="5"/>
  <c r="S310" i="5"/>
  <c r="R310" i="5"/>
  <c r="S309" i="5"/>
  <c r="R309" i="5"/>
  <c r="S308" i="5"/>
  <c r="R308" i="5"/>
  <c r="S307" i="5"/>
  <c r="R307" i="5"/>
  <c r="S306" i="5"/>
  <c r="R306" i="5"/>
  <c r="S305" i="5"/>
  <c r="R305" i="5"/>
  <c r="S304" i="5"/>
  <c r="R304" i="5"/>
  <c r="S303" i="5"/>
  <c r="R303" i="5"/>
  <c r="S302" i="5"/>
  <c r="R302" i="5"/>
  <c r="S301" i="5"/>
  <c r="R301" i="5"/>
  <c r="S300" i="5"/>
  <c r="R300" i="5"/>
  <c r="S299" i="5"/>
  <c r="R299" i="5"/>
  <c r="S298" i="5"/>
  <c r="R298" i="5"/>
  <c r="S297" i="5"/>
  <c r="R297" i="5"/>
  <c r="S296" i="5"/>
  <c r="R296" i="5"/>
  <c r="S295" i="5"/>
  <c r="R295" i="5"/>
  <c r="S294" i="5"/>
  <c r="R294" i="5"/>
  <c r="S293" i="5"/>
  <c r="R293" i="5"/>
  <c r="S292" i="5"/>
  <c r="R292" i="5"/>
  <c r="S291" i="5"/>
  <c r="R291" i="5"/>
  <c r="S290" i="5"/>
  <c r="R290" i="5"/>
  <c r="S289" i="5"/>
  <c r="R289" i="5"/>
  <c r="S288" i="5"/>
  <c r="R288" i="5"/>
  <c r="S287" i="5"/>
  <c r="R287" i="5"/>
  <c r="S286" i="5"/>
  <c r="R286" i="5"/>
  <c r="S285" i="5"/>
  <c r="R285" i="5"/>
  <c r="S284" i="5"/>
  <c r="R284" i="5"/>
  <c r="S283" i="5"/>
  <c r="R283" i="5"/>
  <c r="S282" i="5"/>
  <c r="R282" i="5"/>
  <c r="S281" i="5"/>
  <c r="R281" i="5"/>
  <c r="S280" i="5"/>
  <c r="R280" i="5"/>
  <c r="S279" i="5"/>
  <c r="R279" i="5"/>
  <c r="S278" i="5"/>
  <c r="R278" i="5"/>
  <c r="S277" i="5"/>
  <c r="R277" i="5"/>
  <c r="S276" i="5"/>
  <c r="R276" i="5"/>
  <c r="S275" i="5"/>
  <c r="R275" i="5"/>
  <c r="S274" i="5"/>
  <c r="R274" i="5"/>
  <c r="S273" i="5"/>
  <c r="R273" i="5"/>
  <c r="S272" i="5"/>
  <c r="R272" i="5"/>
  <c r="S271" i="5"/>
  <c r="R271" i="5"/>
  <c r="S270" i="5"/>
  <c r="R270" i="5"/>
  <c r="S269" i="5"/>
  <c r="R269" i="5"/>
  <c r="S268" i="5"/>
  <c r="R268" i="5"/>
  <c r="S267" i="5"/>
  <c r="R267" i="5"/>
  <c r="S266" i="5"/>
  <c r="R266" i="5"/>
  <c r="S265" i="5"/>
  <c r="R265" i="5"/>
  <c r="S264" i="5"/>
  <c r="R264" i="5"/>
  <c r="S263" i="5"/>
  <c r="R263" i="5"/>
  <c r="S262" i="5"/>
  <c r="R262" i="5"/>
  <c r="S261" i="5"/>
  <c r="R261" i="5"/>
  <c r="S260" i="5"/>
  <c r="R260" i="5"/>
  <c r="S259" i="5"/>
  <c r="R259" i="5"/>
  <c r="S258" i="5"/>
  <c r="R258" i="5"/>
  <c r="S257" i="5"/>
  <c r="R257" i="5"/>
  <c r="S256" i="5"/>
  <c r="R256" i="5"/>
  <c r="S255" i="5"/>
  <c r="R255" i="5"/>
  <c r="S254" i="5"/>
  <c r="R254" i="5"/>
  <c r="S253" i="5"/>
  <c r="R253" i="5"/>
  <c r="S252" i="5"/>
  <c r="R252" i="5"/>
  <c r="S251" i="5"/>
  <c r="R251" i="5"/>
  <c r="S250" i="5"/>
  <c r="R250" i="5"/>
  <c r="S249" i="5"/>
  <c r="R249" i="5"/>
  <c r="S248" i="5"/>
  <c r="R248" i="5"/>
  <c r="S247" i="5"/>
  <c r="R247" i="5"/>
  <c r="S246" i="5"/>
  <c r="R246" i="5"/>
  <c r="S245" i="5"/>
  <c r="R245" i="5"/>
  <c r="S244" i="5"/>
  <c r="R244" i="5"/>
  <c r="S243" i="5"/>
  <c r="R243" i="5"/>
  <c r="S242" i="5"/>
  <c r="R242" i="5"/>
  <c r="S241" i="5"/>
  <c r="R241" i="5"/>
  <c r="S240" i="5"/>
  <c r="R240" i="5"/>
  <c r="S239" i="5"/>
  <c r="R239" i="5"/>
  <c r="S238" i="5"/>
  <c r="R238" i="5"/>
  <c r="S237" i="5"/>
  <c r="R237" i="5"/>
  <c r="S236" i="5"/>
  <c r="R236" i="5"/>
  <c r="S235" i="5"/>
  <c r="R235" i="5"/>
  <c r="S234" i="5"/>
  <c r="R234" i="5"/>
  <c r="S233" i="5"/>
  <c r="R233" i="5"/>
  <c r="S232" i="5"/>
  <c r="R232" i="5"/>
  <c r="S231" i="5"/>
  <c r="R231" i="5"/>
  <c r="S230" i="5"/>
  <c r="R230" i="5"/>
  <c r="S229" i="5"/>
  <c r="R229" i="5"/>
  <c r="S228" i="5"/>
  <c r="R228" i="5"/>
  <c r="S227" i="5"/>
  <c r="R227" i="5"/>
  <c r="S226" i="5"/>
  <c r="R226" i="5"/>
  <c r="S225" i="5"/>
  <c r="R225" i="5"/>
  <c r="S224" i="5"/>
  <c r="R224" i="5"/>
  <c r="S223" i="5"/>
  <c r="R223" i="5"/>
  <c r="S222" i="5"/>
  <c r="R222" i="5"/>
  <c r="S221" i="5"/>
  <c r="R221" i="5"/>
  <c r="S220" i="5"/>
  <c r="R220" i="5"/>
  <c r="S219" i="5"/>
  <c r="R219" i="5"/>
  <c r="S218" i="5"/>
  <c r="R218" i="5"/>
  <c r="S217" i="5"/>
  <c r="R217" i="5"/>
  <c r="S216" i="5"/>
  <c r="R216" i="5"/>
  <c r="S215" i="5"/>
  <c r="R215" i="5"/>
  <c r="S214" i="5"/>
  <c r="R214" i="5"/>
  <c r="S213" i="5"/>
  <c r="R213" i="5"/>
  <c r="S212" i="5"/>
  <c r="R212" i="5"/>
  <c r="S211" i="5"/>
  <c r="R211" i="5"/>
  <c r="S210" i="5"/>
  <c r="R210" i="5"/>
  <c r="S209" i="5"/>
  <c r="R209" i="5"/>
  <c r="S208" i="5"/>
  <c r="R208" i="5"/>
  <c r="S207" i="5"/>
  <c r="R207" i="5"/>
  <c r="S206" i="5"/>
  <c r="R206" i="5"/>
  <c r="S205" i="5"/>
  <c r="R205" i="5"/>
  <c r="S204" i="5"/>
  <c r="R204" i="5"/>
  <c r="S203" i="5"/>
  <c r="R203" i="5"/>
  <c r="S202" i="5"/>
  <c r="R202" i="5"/>
  <c r="S201" i="5"/>
  <c r="R201" i="5"/>
  <c r="S200" i="5"/>
  <c r="R200" i="5"/>
  <c r="S199" i="5"/>
  <c r="R199" i="5"/>
  <c r="S198" i="5"/>
  <c r="R198" i="5"/>
  <c r="S197" i="5"/>
  <c r="R197" i="5"/>
  <c r="S196" i="5"/>
  <c r="R196" i="5"/>
  <c r="S195" i="5"/>
  <c r="R195" i="5"/>
  <c r="S194" i="5"/>
  <c r="R194" i="5"/>
  <c r="S193" i="5"/>
  <c r="R193" i="5"/>
  <c r="S192" i="5"/>
  <c r="R192" i="5"/>
  <c r="S191" i="5"/>
  <c r="R191" i="5"/>
  <c r="S190" i="5"/>
  <c r="R190" i="5"/>
  <c r="S189" i="5"/>
  <c r="R189" i="5"/>
  <c r="S188" i="5"/>
  <c r="R188" i="5"/>
  <c r="S187" i="5"/>
  <c r="R187" i="5"/>
  <c r="S186" i="5"/>
  <c r="R186" i="5"/>
  <c r="S185" i="5"/>
  <c r="R185" i="5"/>
  <c r="S184" i="5"/>
  <c r="R184" i="5"/>
  <c r="S183" i="5"/>
  <c r="R183" i="5"/>
  <c r="S182" i="5"/>
  <c r="R182" i="5"/>
  <c r="S181" i="5"/>
  <c r="R181" i="5"/>
  <c r="S180" i="5"/>
  <c r="R180" i="5"/>
  <c r="S179" i="5"/>
  <c r="R179" i="5"/>
  <c r="S178" i="5"/>
  <c r="R178" i="5"/>
  <c r="S177" i="5"/>
  <c r="R177" i="5"/>
  <c r="S176" i="5"/>
  <c r="R176" i="5"/>
  <c r="S175" i="5"/>
  <c r="R175" i="5"/>
  <c r="S174" i="5"/>
  <c r="R174" i="5"/>
  <c r="S173" i="5"/>
  <c r="R173" i="5"/>
  <c r="S172" i="5"/>
  <c r="R172" i="5"/>
  <c r="S171" i="5"/>
  <c r="R171" i="5"/>
  <c r="S170" i="5"/>
  <c r="R170" i="5"/>
  <c r="S169" i="5"/>
  <c r="R169" i="5"/>
  <c r="S168" i="5"/>
  <c r="R168" i="5"/>
  <c r="S167" i="5"/>
  <c r="R167" i="5"/>
  <c r="S166" i="5"/>
  <c r="R166" i="5"/>
  <c r="S165" i="5"/>
  <c r="R165" i="5"/>
  <c r="S164" i="5"/>
  <c r="R164" i="5"/>
  <c r="S163" i="5"/>
  <c r="R163" i="5"/>
  <c r="S162" i="5"/>
  <c r="R162" i="5"/>
  <c r="S161" i="5"/>
  <c r="R161" i="5"/>
  <c r="S160" i="5"/>
  <c r="R160" i="5"/>
  <c r="S159" i="5"/>
  <c r="R159" i="5"/>
  <c r="S158" i="5"/>
  <c r="R158" i="5"/>
  <c r="S157" i="5"/>
  <c r="R157" i="5"/>
  <c r="S156" i="5"/>
  <c r="R156" i="5"/>
  <c r="S155" i="5"/>
  <c r="R155" i="5"/>
  <c r="S154" i="5"/>
  <c r="R154" i="5"/>
  <c r="S153" i="5"/>
  <c r="R153" i="5"/>
  <c r="S152" i="5"/>
  <c r="R152" i="5"/>
  <c r="S151" i="5"/>
  <c r="R151" i="5"/>
  <c r="S150" i="5"/>
  <c r="R150" i="5"/>
  <c r="S149" i="5"/>
  <c r="R149" i="5"/>
  <c r="S148" i="5"/>
  <c r="R148" i="5"/>
  <c r="S147" i="5"/>
  <c r="R147" i="5"/>
  <c r="S146" i="5"/>
  <c r="R146" i="5"/>
  <c r="S145" i="5"/>
  <c r="R145" i="5"/>
  <c r="S144" i="5"/>
  <c r="R144" i="5"/>
  <c r="S143" i="5"/>
  <c r="R143" i="5"/>
  <c r="S142" i="5"/>
  <c r="R142" i="5"/>
  <c r="S141" i="5"/>
  <c r="R141" i="5"/>
  <c r="S140" i="5"/>
  <c r="R140" i="5"/>
  <c r="S139" i="5"/>
  <c r="R139" i="5"/>
  <c r="S138" i="5"/>
  <c r="R138" i="5"/>
  <c r="S137" i="5"/>
  <c r="R137" i="5"/>
  <c r="S136" i="5"/>
  <c r="R136" i="5"/>
  <c r="S135" i="5"/>
  <c r="R135" i="5"/>
  <c r="S134" i="5"/>
  <c r="R134" i="5"/>
  <c r="S133" i="5"/>
  <c r="R133" i="5"/>
  <c r="S132" i="5"/>
  <c r="R132" i="5"/>
  <c r="S131" i="5"/>
  <c r="R131" i="5"/>
  <c r="S130" i="5"/>
  <c r="R130" i="5"/>
  <c r="S129" i="5"/>
  <c r="R129" i="5"/>
  <c r="S128" i="5"/>
  <c r="R128" i="5"/>
  <c r="S127" i="5"/>
  <c r="R127" i="5"/>
  <c r="S126" i="5"/>
  <c r="R126" i="5"/>
  <c r="S125" i="5"/>
  <c r="R125" i="5"/>
  <c r="S124" i="5"/>
  <c r="R124" i="5"/>
  <c r="S123" i="5"/>
  <c r="R123" i="5"/>
  <c r="S122" i="5"/>
  <c r="R122" i="5"/>
  <c r="S121" i="5"/>
  <c r="R121" i="5"/>
  <c r="S120" i="5"/>
  <c r="R120" i="5"/>
  <c r="S119" i="5"/>
  <c r="R119" i="5"/>
  <c r="S118" i="5"/>
  <c r="R118" i="5"/>
  <c r="S117" i="5"/>
  <c r="R117" i="5"/>
  <c r="S116" i="5"/>
  <c r="R116" i="5"/>
  <c r="S115" i="5"/>
  <c r="R115" i="5"/>
  <c r="S114" i="5"/>
  <c r="R114" i="5"/>
  <c r="S113" i="5"/>
  <c r="R113" i="5"/>
  <c r="S112" i="5"/>
  <c r="R112" i="5"/>
  <c r="S111" i="5"/>
  <c r="R111" i="5"/>
  <c r="S110" i="5"/>
  <c r="R110" i="5"/>
  <c r="S109" i="5"/>
  <c r="R109" i="5"/>
  <c r="S108" i="5"/>
  <c r="R108" i="5"/>
  <c r="S107" i="5"/>
  <c r="R107" i="5"/>
  <c r="S106" i="5"/>
  <c r="R106" i="5"/>
  <c r="S105" i="5"/>
  <c r="R105" i="5"/>
  <c r="S104" i="5"/>
  <c r="R104" i="5"/>
  <c r="S103" i="5"/>
  <c r="R103" i="5"/>
  <c r="S102" i="5"/>
  <c r="R102" i="5"/>
  <c r="S101" i="5"/>
  <c r="R101" i="5"/>
  <c r="S100" i="5"/>
  <c r="R100" i="5"/>
  <c r="S99" i="5"/>
  <c r="R99" i="5"/>
  <c r="S98" i="5"/>
  <c r="R98" i="5"/>
  <c r="S97" i="5"/>
  <c r="R97" i="5"/>
  <c r="S96" i="5"/>
  <c r="R96" i="5"/>
  <c r="S95" i="5"/>
  <c r="R95" i="5"/>
  <c r="S94" i="5"/>
  <c r="R94" i="5"/>
  <c r="S93" i="5"/>
  <c r="R93" i="5"/>
  <c r="S92" i="5"/>
  <c r="R92" i="5"/>
  <c r="S91" i="5"/>
  <c r="R91" i="5"/>
  <c r="S90" i="5"/>
  <c r="R90" i="5"/>
  <c r="S89" i="5"/>
  <c r="R89" i="5"/>
  <c r="S88" i="5"/>
  <c r="R88" i="5"/>
  <c r="S87" i="5"/>
  <c r="R87" i="5"/>
  <c r="S86" i="5"/>
  <c r="R86" i="5"/>
  <c r="S85" i="5"/>
  <c r="R85" i="5"/>
  <c r="S84" i="5"/>
  <c r="R84" i="5"/>
  <c r="S83" i="5"/>
  <c r="R83" i="5"/>
  <c r="S82" i="5"/>
  <c r="R82" i="5"/>
  <c r="S81" i="5"/>
  <c r="R81" i="5"/>
  <c r="S80" i="5"/>
  <c r="R80" i="5"/>
  <c r="S79" i="5"/>
  <c r="R79" i="5"/>
  <c r="S78" i="5"/>
  <c r="R78" i="5"/>
  <c r="S77" i="5"/>
  <c r="R77" i="5"/>
  <c r="S76" i="5"/>
  <c r="R76" i="5"/>
  <c r="S75" i="5"/>
  <c r="R75" i="5"/>
  <c r="S74" i="5"/>
  <c r="R74" i="5"/>
  <c r="S73" i="5"/>
  <c r="R73" i="5"/>
  <c r="S72" i="5"/>
  <c r="R72" i="5"/>
  <c r="S71" i="5"/>
  <c r="R71" i="5"/>
  <c r="S70" i="5"/>
  <c r="R70" i="5"/>
  <c r="S69" i="5"/>
  <c r="R69" i="5"/>
  <c r="S68" i="5"/>
  <c r="R68" i="5"/>
  <c r="S67" i="5"/>
  <c r="R67" i="5"/>
  <c r="S66" i="5"/>
  <c r="R66" i="5"/>
  <c r="S65" i="5"/>
  <c r="R65" i="5"/>
  <c r="S64" i="5"/>
  <c r="R64" i="5"/>
  <c r="S63" i="5"/>
  <c r="R63" i="5"/>
  <c r="S62" i="5"/>
  <c r="R62" i="5"/>
  <c r="S61" i="5"/>
  <c r="R61" i="5"/>
  <c r="S60" i="5"/>
  <c r="R60" i="5"/>
  <c r="S59" i="5"/>
  <c r="R59" i="5"/>
  <c r="S58" i="5"/>
  <c r="R58" i="5"/>
  <c r="S57" i="5"/>
  <c r="R57" i="5"/>
  <c r="S56" i="5"/>
  <c r="R56" i="5"/>
  <c r="S55" i="5"/>
  <c r="R55" i="5"/>
  <c r="S54" i="5"/>
  <c r="R54" i="5"/>
  <c r="S53" i="5"/>
  <c r="R53" i="5"/>
  <c r="S52" i="5"/>
  <c r="R52" i="5"/>
  <c r="S51" i="5"/>
  <c r="R51" i="5"/>
  <c r="S50" i="5"/>
  <c r="R50" i="5"/>
  <c r="S49" i="5"/>
  <c r="R49" i="5"/>
  <c r="S48" i="5"/>
  <c r="R48" i="5"/>
  <c r="S47" i="5"/>
  <c r="R47" i="5"/>
  <c r="S46" i="5"/>
  <c r="R46" i="5"/>
  <c r="S45" i="5"/>
  <c r="R45" i="5"/>
  <c r="S44" i="5"/>
  <c r="R44" i="5"/>
  <c r="S43" i="5"/>
  <c r="R43" i="5"/>
  <c r="S42" i="5"/>
  <c r="R42" i="5"/>
  <c r="S41" i="5"/>
  <c r="R41" i="5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S31" i="5"/>
  <c r="R31" i="5"/>
  <c r="S30" i="5"/>
  <c r="R30" i="5"/>
  <c r="S29" i="5"/>
  <c r="R29" i="5"/>
  <c r="S28" i="5"/>
  <c r="R28" i="5"/>
  <c r="S27" i="5"/>
  <c r="R27" i="5"/>
  <c r="S26" i="5"/>
  <c r="R26" i="5"/>
  <c r="S25" i="5"/>
  <c r="R25" i="5"/>
  <c r="S24" i="5"/>
  <c r="R24" i="5"/>
  <c r="S23" i="5"/>
  <c r="R23" i="5"/>
  <c r="S22" i="5"/>
  <c r="R22" i="5"/>
  <c r="S21" i="5"/>
  <c r="R21" i="5"/>
  <c r="S20" i="5"/>
  <c r="R20" i="5"/>
  <c r="S19" i="5"/>
  <c r="R19" i="5"/>
  <c r="S18" i="5"/>
  <c r="R18" i="5"/>
  <c r="S17" i="5"/>
  <c r="R17" i="5"/>
  <c r="S16" i="5"/>
  <c r="R16" i="5"/>
  <c r="S15" i="5"/>
  <c r="R15" i="5"/>
  <c r="S14" i="5"/>
  <c r="R14" i="5"/>
  <c r="S13" i="5"/>
  <c r="R13" i="5"/>
  <c r="S12" i="5"/>
  <c r="R12" i="5"/>
  <c r="S11" i="5"/>
  <c r="R11" i="5"/>
  <c r="S10" i="5"/>
  <c r="R10" i="5"/>
  <c r="S9" i="5"/>
  <c r="R9" i="5"/>
  <c r="S8" i="5"/>
  <c r="R8" i="5"/>
  <c r="S7" i="5"/>
  <c r="R7" i="5"/>
  <c r="S6" i="5"/>
  <c r="R6" i="5"/>
  <c r="S5" i="5"/>
  <c r="R5" i="5"/>
  <c r="S4" i="5"/>
  <c r="R4" i="5"/>
  <c r="Q10" i="4"/>
  <c r="P10" i="4"/>
  <c r="Q9" i="4"/>
  <c r="P9" i="4"/>
  <c r="Q8" i="4"/>
  <c r="P8" i="4"/>
  <c r="Q7" i="4"/>
  <c r="P7" i="4"/>
  <c r="Q6" i="4"/>
  <c r="P6" i="4"/>
  <c r="Q5" i="4"/>
  <c r="P5" i="4"/>
  <c r="Q4" i="4"/>
  <c r="P4" i="4"/>
</calcChain>
</file>

<file path=xl/sharedStrings.xml><?xml version="1.0" encoding="utf-8"?>
<sst xmlns="http://schemas.openxmlformats.org/spreadsheetml/2006/main" count="2688" uniqueCount="1426">
  <si>
    <t>index</t>
  </si>
  <si>
    <t>key</t>
  </si>
  <si>
    <t>hpCoefficient</t>
  </si>
  <si>
    <t>resourceId</t>
  </si>
  <si>
    <t>int</t>
  </si>
  <si>
    <t>string</t>
  </si>
  <si>
    <t>double</t>
  </si>
  <si>
    <t>적 ID</t>
  </si>
  <si>
    <t>적 식별자</t>
  </si>
  <si>
    <t>체력 계수</t>
  </si>
  <si>
    <t>사용 리소스 ID</t>
  </si>
  <si>
    <t>mushroom_ed0</t>
  </si>
  <si>
    <t>mushroom_ed1</t>
  </si>
  <si>
    <t>mushroom_ed2</t>
  </si>
  <si>
    <t>mushroom_ed3</t>
  </si>
  <si>
    <t>mushroom_ed4</t>
  </si>
  <si>
    <t>mushroom_ed5</t>
  </si>
  <si>
    <t>mushroom_ed6</t>
  </si>
  <si>
    <t>mushroom_ed7</t>
  </si>
  <si>
    <t>mushroom_ed8</t>
  </si>
  <si>
    <t>mushroom_ed9</t>
  </si>
  <si>
    <t>name</t>
  </si>
  <si>
    <t>보스 ID</t>
  </si>
  <si>
    <t>보스 식별자</t>
  </si>
  <si>
    <t>보스 이름</t>
  </si>
  <si>
    <t>beak_boss</t>
  </si>
  <si>
    <t>부리 버섯</t>
  </si>
  <si>
    <t>grandpa_boss</t>
  </si>
  <si>
    <t>숲의 할아버지</t>
  </si>
  <si>
    <t>grade</t>
  </si>
  <si>
    <t>attackMultiplier</t>
  </si>
  <si>
    <t>initialOwned</t>
  </si>
  <si>
    <t>defaultSlot</t>
  </si>
  <si>
    <t>꼬마 ID</t>
  </si>
  <si>
    <t>꼬마 식별자</t>
  </si>
  <si>
    <t>꼬마 이름</t>
  </si>
  <si>
    <t>등급</t>
  </si>
  <si>
    <t>공격 배율</t>
  </si>
  <si>
    <t>초기 보유 수</t>
  </si>
  <si>
    <t>기본 편성 칸</t>
  </si>
  <si>
    <t>leaf</t>
  </si>
  <si>
    <t>새싹 꼬마</t>
  </si>
  <si>
    <t>dew</t>
  </si>
  <si>
    <t>이슬 꼬마</t>
  </si>
  <si>
    <t>wind</t>
  </si>
  <si>
    <t>바람 꼬마</t>
  </si>
  <si>
    <t>fire</t>
  </si>
  <si>
    <t>불씨 꼬마</t>
  </si>
  <si>
    <t>rock</t>
  </si>
  <si>
    <t>조약돌 꼬마</t>
  </si>
  <si>
    <t>star</t>
  </si>
  <si>
    <t>별똥 꼬마</t>
  </si>
  <si>
    <t>coin</t>
  </si>
  <si>
    <t>동전 꼬마</t>
  </si>
  <si>
    <t>chest</t>
  </si>
  <si>
    <t>꿀밤 꼬마</t>
  </si>
  <si>
    <t>beak</t>
  </si>
  <si>
    <t>stat</t>
  </si>
  <si>
    <t>baseValue</t>
  </si>
  <si>
    <t>perLevel</t>
  </si>
  <si>
    <t>valueMode</t>
  </si>
  <si>
    <t>price</t>
  </si>
  <si>
    <t>priceExponent</t>
  </si>
  <si>
    <t>priceDivisor</t>
  </si>
  <si>
    <t>maxLevel</t>
  </si>
  <si>
    <t>currency</t>
  </si>
  <si>
    <t>unlockStat</t>
  </si>
  <si>
    <t>unlockLevel</t>
  </si>
  <si>
    <t>#priceAtLv10</t>
  </si>
  <si>
    <t>#valueAtLv10</t>
  </si>
  <si>
    <t>IdleStat</t>
  </si>
  <si>
    <t>long</t>
  </si>
  <si>
    <t>Currency</t>
  </si>
  <si>
    <t>강화 ID</t>
  </si>
  <si>
    <t>강화 식별자</t>
  </si>
  <si>
    <t>업그레이드 종류</t>
  </si>
  <si>
    <t>표시 이름</t>
  </si>
  <si>
    <t>기본 능력치</t>
  </si>
  <si>
    <t>레벨당 변동폭</t>
  </si>
  <si>
    <t>변동 방식</t>
  </si>
  <si>
    <t>업그레이드 가격</t>
  </si>
  <si>
    <t>가격 지수</t>
  </si>
  <si>
    <t>가격 레벨 단위</t>
  </si>
  <si>
    <t>최대 레벨</t>
  </si>
  <si>
    <t>사용 재화</t>
  </si>
  <si>
    <t>해금 기준 종류</t>
  </si>
  <si>
    <t>해금 기준 레벨</t>
  </si>
  <si>
    <t>사용 아이콘 ID</t>
  </si>
  <si>
    <t>Lv 10 다음 가격</t>
  </si>
  <si>
    <t>Lv 10 능력치</t>
  </si>
  <si>
    <t>upgrade_Attack</t>
  </si>
  <si>
    <t>Attack</t>
  </si>
  <si>
    <t>공격력</t>
  </si>
  <si>
    <t>Add</t>
  </si>
  <si>
    <t>Gold</t>
  </si>
  <si>
    <t>upgrade_Hp</t>
  </si>
  <si>
    <t>Hp</t>
  </si>
  <si>
    <t>체력</t>
  </si>
  <si>
    <t>upgrade_HpRegen</t>
  </si>
  <si>
    <t>HpRegen</t>
  </si>
  <si>
    <t>체력 재생</t>
  </si>
  <si>
    <t>upgrade_Speed</t>
  </si>
  <si>
    <t>Speed</t>
  </si>
  <si>
    <t>공격 속도</t>
  </si>
  <si>
    <t>Multiply</t>
  </si>
  <si>
    <t>upgrade_CritChance</t>
  </si>
  <si>
    <t>CritChance</t>
  </si>
  <si>
    <t>치명타 확률</t>
  </si>
  <si>
    <t>upgrade_CritDamage</t>
  </si>
  <si>
    <t>CritDamage</t>
  </si>
  <si>
    <t>치명타 피해</t>
  </si>
  <si>
    <t>upgrade_GoldBonus</t>
  </si>
  <si>
    <t>GoldBonus</t>
  </si>
  <si>
    <t>골드 획득량</t>
  </si>
  <si>
    <t>stage</t>
  </si>
  <si>
    <t>stageCoefficient</t>
  </si>
  <si>
    <t>enemyIds</t>
  </si>
  <si>
    <t>bossId</t>
  </si>
  <si>
    <t>wavesPerStage</t>
  </si>
  <si>
    <t>bossTime</t>
  </si>
  <si>
    <t>enemyCountBase</t>
  </si>
  <si>
    <t>enemyCountPerWave</t>
  </si>
  <si>
    <t>enemyCountPerStage</t>
  </si>
  <si>
    <t>enemyCountMax</t>
  </si>
  <si>
    <t>enemyGold</t>
  </si>
  <si>
    <t>bossGold</t>
  </si>
  <si>
    <t>bossMycelite</t>
  </si>
  <si>
    <t>enemyAttack</t>
  </si>
  <si>
    <t>bossAttack</t>
  </si>
  <si>
    <t>#enemyHpExample</t>
  </si>
  <si>
    <t>#bossHp</t>
  </si>
  <si>
    <t>int[]</t>
  </si>
  <si>
    <t>스테이지 ID</t>
  </si>
  <si>
    <t>스테이지 식별자</t>
  </si>
  <si>
    <t>스테이지 번호</t>
  </si>
  <si>
    <t>스테이지 계수</t>
  </si>
  <si>
    <t>등장 적 ID 목록</t>
  </si>
  <si>
    <t>등장 보스 ID</t>
  </si>
  <si>
    <t>일반 웨이브 수</t>
  </si>
  <si>
    <t>보스 제한 시간(초)</t>
  </si>
  <si>
    <t>시작 적 수</t>
  </si>
  <si>
    <t>웨이브당 적 증가</t>
  </si>
  <si>
    <t>스테이지당 적 증가</t>
  </si>
  <si>
    <t>최대 적 수</t>
  </si>
  <si>
    <t>적 처치 골드</t>
  </si>
  <si>
    <t>보스 처치 골드</t>
  </si>
  <si>
    <t>보스 균사석</t>
  </si>
  <si>
    <t>일반 적 공격/초</t>
  </si>
  <si>
    <t>보스 공격/초</t>
  </si>
  <si>
    <t>적 1001 체력 예시</t>
  </si>
  <si>
    <t>보스 체력 예시</t>
  </si>
  <si>
    <t>stage_0001</t>
  </si>
  <si>
    <t>1001,1002,1003,1004,1005,1006,1007,1008,1009,1010</t>
  </si>
  <si>
    <t>stage_0002</t>
  </si>
  <si>
    <t>stage_0003</t>
  </si>
  <si>
    <t>stage_0004</t>
  </si>
  <si>
    <t>stage_0005</t>
  </si>
  <si>
    <t>stage_0006</t>
  </si>
  <si>
    <t>stage_0007</t>
  </si>
  <si>
    <t>stage_0008</t>
  </si>
  <si>
    <t>stage_0009</t>
  </si>
  <si>
    <t>stage_0010</t>
  </si>
  <si>
    <t>stage_0011</t>
  </si>
  <si>
    <t>stage_0012</t>
  </si>
  <si>
    <t>stage_0013</t>
  </si>
  <si>
    <t>stage_0014</t>
  </si>
  <si>
    <t>stage_0015</t>
  </si>
  <si>
    <t>stage_0016</t>
  </si>
  <si>
    <t>stage_0017</t>
  </si>
  <si>
    <t>stage_0018</t>
  </si>
  <si>
    <t>stage_0019</t>
  </si>
  <si>
    <t>stage_0020</t>
  </si>
  <si>
    <t>stage_0021</t>
  </si>
  <si>
    <t>stage_0022</t>
  </si>
  <si>
    <t>stage_0023</t>
  </si>
  <si>
    <t>stage_0024</t>
  </si>
  <si>
    <t>stage_0025</t>
  </si>
  <si>
    <t>stage_0026</t>
  </si>
  <si>
    <t>stage_0027</t>
  </si>
  <si>
    <t>stage_0028</t>
  </si>
  <si>
    <t>stage_0029</t>
  </si>
  <si>
    <t>stage_0030</t>
  </si>
  <si>
    <t>stage_0031</t>
  </si>
  <si>
    <t>stage_0032</t>
  </si>
  <si>
    <t>stage_0033</t>
  </si>
  <si>
    <t>stage_0034</t>
  </si>
  <si>
    <t>stage_0035</t>
  </si>
  <si>
    <t>stage_0036</t>
  </si>
  <si>
    <t>stage_0037</t>
  </si>
  <si>
    <t>stage_0038</t>
  </si>
  <si>
    <t>stage_0039</t>
  </si>
  <si>
    <t>stage_0040</t>
  </si>
  <si>
    <t>stage_0041</t>
  </si>
  <si>
    <t>stage_0042</t>
  </si>
  <si>
    <t>stage_0043</t>
  </si>
  <si>
    <t>stage_0044</t>
  </si>
  <si>
    <t>stage_0045</t>
  </si>
  <si>
    <t>stage_0046</t>
  </si>
  <si>
    <t>stage_0047</t>
  </si>
  <si>
    <t>stage_0048</t>
  </si>
  <si>
    <t>stage_0049</t>
  </si>
  <si>
    <t>stage_0050</t>
  </si>
  <si>
    <t>stage_0051</t>
  </si>
  <si>
    <t>stage_0052</t>
  </si>
  <si>
    <t>stage_0053</t>
  </si>
  <si>
    <t>stage_0054</t>
  </si>
  <si>
    <t>stage_0055</t>
  </si>
  <si>
    <t>stage_0056</t>
  </si>
  <si>
    <t>stage_0057</t>
  </si>
  <si>
    <t>stage_0058</t>
  </si>
  <si>
    <t>stage_0059</t>
  </si>
  <si>
    <t>stage_0060</t>
  </si>
  <si>
    <t>stage_0061</t>
  </si>
  <si>
    <t>stage_0062</t>
  </si>
  <si>
    <t>stage_0063</t>
  </si>
  <si>
    <t>stage_0064</t>
  </si>
  <si>
    <t>stage_0065</t>
  </si>
  <si>
    <t>stage_0066</t>
  </si>
  <si>
    <t>stage_0067</t>
  </si>
  <si>
    <t>stage_0068</t>
  </si>
  <si>
    <t>stage_0069</t>
  </si>
  <si>
    <t>stage_0070</t>
  </si>
  <si>
    <t>stage_0071</t>
  </si>
  <si>
    <t>stage_0072</t>
  </si>
  <si>
    <t>stage_0073</t>
  </si>
  <si>
    <t>stage_0074</t>
  </si>
  <si>
    <t>stage_0075</t>
  </si>
  <si>
    <t>stage_0076</t>
  </si>
  <si>
    <t>stage_0077</t>
  </si>
  <si>
    <t>stage_0078</t>
  </si>
  <si>
    <t>stage_0079</t>
  </si>
  <si>
    <t>stage_0080</t>
  </si>
  <si>
    <t>stage_0081</t>
  </si>
  <si>
    <t>stage_0082</t>
  </si>
  <si>
    <t>stage_0083</t>
  </si>
  <si>
    <t>stage_0084</t>
  </si>
  <si>
    <t>stage_0085</t>
  </si>
  <si>
    <t>stage_0086</t>
  </si>
  <si>
    <t>stage_0087</t>
  </si>
  <si>
    <t>stage_0088</t>
  </si>
  <si>
    <t>stage_0089</t>
  </si>
  <si>
    <t>stage_0090</t>
  </si>
  <si>
    <t>stage_0091</t>
  </si>
  <si>
    <t>stage_0092</t>
  </si>
  <si>
    <t>stage_0093</t>
  </si>
  <si>
    <t>stage_0094</t>
  </si>
  <si>
    <t>stage_0095</t>
  </si>
  <si>
    <t>stage_0096</t>
  </si>
  <si>
    <t>stage_0097</t>
  </si>
  <si>
    <t>stage_0098</t>
  </si>
  <si>
    <t>stage_0099</t>
  </si>
  <si>
    <t>stage_0100</t>
  </si>
  <si>
    <t>stage_0101</t>
  </si>
  <si>
    <t>stage_0102</t>
  </si>
  <si>
    <t>stage_0103</t>
  </si>
  <si>
    <t>stage_0104</t>
  </si>
  <si>
    <t>stage_0105</t>
  </si>
  <si>
    <t>stage_0106</t>
  </si>
  <si>
    <t>stage_0107</t>
  </si>
  <si>
    <t>stage_0108</t>
  </si>
  <si>
    <t>stage_0109</t>
  </si>
  <si>
    <t>stage_0110</t>
  </si>
  <si>
    <t>stage_0111</t>
  </si>
  <si>
    <t>stage_0112</t>
  </si>
  <si>
    <t>stage_0113</t>
  </si>
  <si>
    <t>stage_0114</t>
  </si>
  <si>
    <t>stage_0115</t>
  </si>
  <si>
    <t>stage_0116</t>
  </si>
  <si>
    <t>stage_0117</t>
  </si>
  <si>
    <t>stage_0118</t>
  </si>
  <si>
    <t>stage_0119</t>
  </si>
  <si>
    <t>stage_0120</t>
  </si>
  <si>
    <t>stage_0121</t>
  </si>
  <si>
    <t>stage_0122</t>
  </si>
  <si>
    <t>stage_0123</t>
  </si>
  <si>
    <t>stage_0124</t>
  </si>
  <si>
    <t>stage_0125</t>
  </si>
  <si>
    <t>stage_0126</t>
  </si>
  <si>
    <t>stage_0127</t>
  </si>
  <si>
    <t>stage_0128</t>
  </si>
  <si>
    <t>stage_0129</t>
  </si>
  <si>
    <t>stage_0130</t>
  </si>
  <si>
    <t>stage_0131</t>
  </si>
  <si>
    <t>stage_0132</t>
  </si>
  <si>
    <t>stage_0133</t>
  </si>
  <si>
    <t>stage_0134</t>
  </si>
  <si>
    <t>stage_0135</t>
  </si>
  <si>
    <t>stage_0136</t>
  </si>
  <si>
    <t>stage_0137</t>
  </si>
  <si>
    <t>stage_0138</t>
  </si>
  <si>
    <t>stage_0139</t>
  </si>
  <si>
    <t>stage_0140</t>
  </si>
  <si>
    <t>stage_0141</t>
  </si>
  <si>
    <t>stage_0142</t>
  </si>
  <si>
    <t>stage_0143</t>
  </si>
  <si>
    <t>stage_0144</t>
  </si>
  <si>
    <t>stage_0145</t>
  </si>
  <si>
    <t>stage_0146</t>
  </si>
  <si>
    <t>stage_0147</t>
  </si>
  <si>
    <t>stage_0148</t>
  </si>
  <si>
    <t>stage_0149</t>
  </si>
  <si>
    <t>stage_0150</t>
  </si>
  <si>
    <t>stage_0151</t>
  </si>
  <si>
    <t>stage_0152</t>
  </si>
  <si>
    <t>stage_0153</t>
  </si>
  <si>
    <t>stage_0154</t>
  </si>
  <si>
    <t>stage_0155</t>
  </si>
  <si>
    <t>stage_0156</t>
  </si>
  <si>
    <t>stage_0157</t>
  </si>
  <si>
    <t>stage_0158</t>
  </si>
  <si>
    <t>stage_0159</t>
  </si>
  <si>
    <t>stage_0160</t>
  </si>
  <si>
    <t>stage_0161</t>
  </si>
  <si>
    <t>stage_0162</t>
  </si>
  <si>
    <t>stage_0163</t>
  </si>
  <si>
    <t>stage_0164</t>
  </si>
  <si>
    <t>stage_0165</t>
  </si>
  <si>
    <t>stage_0166</t>
  </si>
  <si>
    <t>stage_0167</t>
  </si>
  <si>
    <t>stage_0168</t>
  </si>
  <si>
    <t>stage_0169</t>
  </si>
  <si>
    <t>stage_0170</t>
  </si>
  <si>
    <t>stage_0171</t>
  </si>
  <si>
    <t>stage_0172</t>
  </si>
  <si>
    <t>stage_0173</t>
  </si>
  <si>
    <t>stage_0174</t>
  </si>
  <si>
    <t>stage_0175</t>
  </si>
  <si>
    <t>stage_0176</t>
  </si>
  <si>
    <t>stage_0177</t>
  </si>
  <si>
    <t>stage_0178</t>
  </si>
  <si>
    <t>stage_0179</t>
  </si>
  <si>
    <t>stage_0180</t>
  </si>
  <si>
    <t>stage_0181</t>
  </si>
  <si>
    <t>stage_0182</t>
  </si>
  <si>
    <t>stage_0183</t>
  </si>
  <si>
    <t>stage_0184</t>
  </si>
  <si>
    <t>stage_0185</t>
  </si>
  <si>
    <t>stage_0186</t>
  </si>
  <si>
    <t>stage_0187</t>
  </si>
  <si>
    <t>stage_0188</t>
  </si>
  <si>
    <t>stage_0189</t>
  </si>
  <si>
    <t>stage_0190</t>
  </si>
  <si>
    <t>stage_0191</t>
  </si>
  <si>
    <t>stage_0192</t>
  </si>
  <si>
    <t>stage_0193</t>
  </si>
  <si>
    <t>stage_0194</t>
  </si>
  <si>
    <t>stage_0195</t>
  </si>
  <si>
    <t>stage_0196</t>
  </si>
  <si>
    <t>stage_0197</t>
  </si>
  <si>
    <t>stage_0198</t>
  </si>
  <si>
    <t>stage_0199</t>
  </si>
  <si>
    <t>stage_0200</t>
  </si>
  <si>
    <t>stage_0201</t>
  </si>
  <si>
    <t>stage_0202</t>
  </si>
  <si>
    <t>stage_0203</t>
  </si>
  <si>
    <t>stage_0204</t>
  </si>
  <si>
    <t>stage_0205</t>
  </si>
  <si>
    <t>stage_0206</t>
  </si>
  <si>
    <t>stage_0207</t>
  </si>
  <si>
    <t>stage_0208</t>
  </si>
  <si>
    <t>stage_0209</t>
  </si>
  <si>
    <t>stage_0210</t>
  </si>
  <si>
    <t>stage_0211</t>
  </si>
  <si>
    <t>stage_0212</t>
  </si>
  <si>
    <t>stage_0213</t>
  </si>
  <si>
    <t>stage_0214</t>
  </si>
  <si>
    <t>stage_0215</t>
  </si>
  <si>
    <t>stage_0216</t>
  </si>
  <si>
    <t>stage_0217</t>
  </si>
  <si>
    <t>stage_0218</t>
  </si>
  <si>
    <t>stage_0219</t>
  </si>
  <si>
    <t>stage_0220</t>
  </si>
  <si>
    <t>stage_0221</t>
  </si>
  <si>
    <t>stage_0222</t>
  </si>
  <si>
    <t>stage_0223</t>
  </si>
  <si>
    <t>stage_0224</t>
  </si>
  <si>
    <t>stage_0225</t>
  </si>
  <si>
    <t>stage_0226</t>
  </si>
  <si>
    <t>stage_0227</t>
  </si>
  <si>
    <t>stage_0228</t>
  </si>
  <si>
    <t>stage_0229</t>
  </si>
  <si>
    <t>stage_0230</t>
  </si>
  <si>
    <t>stage_0231</t>
  </si>
  <si>
    <t>stage_0232</t>
  </si>
  <si>
    <t>stage_0233</t>
  </si>
  <si>
    <t>stage_0234</t>
  </si>
  <si>
    <t>stage_0235</t>
  </si>
  <si>
    <t>stage_0236</t>
  </si>
  <si>
    <t>stage_0237</t>
  </si>
  <si>
    <t>stage_0238</t>
  </si>
  <si>
    <t>stage_0239</t>
  </si>
  <si>
    <t>stage_0240</t>
  </si>
  <si>
    <t>stage_0241</t>
  </si>
  <si>
    <t>stage_0242</t>
  </si>
  <si>
    <t>stage_0243</t>
  </si>
  <si>
    <t>stage_0244</t>
  </si>
  <si>
    <t>stage_0245</t>
  </si>
  <si>
    <t>stage_0246</t>
  </si>
  <si>
    <t>stage_0247</t>
  </si>
  <si>
    <t>stage_0248</t>
  </si>
  <si>
    <t>stage_0249</t>
  </si>
  <si>
    <t>stage_0250</t>
  </si>
  <si>
    <t>stage_0251</t>
  </si>
  <si>
    <t>stage_0252</t>
  </si>
  <si>
    <t>stage_0253</t>
  </si>
  <si>
    <t>stage_0254</t>
  </si>
  <si>
    <t>stage_0255</t>
  </si>
  <si>
    <t>stage_0256</t>
  </si>
  <si>
    <t>stage_0257</t>
  </si>
  <si>
    <t>stage_0258</t>
  </si>
  <si>
    <t>stage_0259</t>
  </si>
  <si>
    <t>stage_0260</t>
  </si>
  <si>
    <t>stage_0261</t>
  </si>
  <si>
    <t>stage_0262</t>
  </si>
  <si>
    <t>stage_0263</t>
  </si>
  <si>
    <t>stage_0264</t>
  </si>
  <si>
    <t>stage_0265</t>
  </si>
  <si>
    <t>stage_0266</t>
  </si>
  <si>
    <t>stage_0267</t>
  </si>
  <si>
    <t>stage_0268</t>
  </si>
  <si>
    <t>stage_0269</t>
  </si>
  <si>
    <t>stage_0270</t>
  </si>
  <si>
    <t>stage_0271</t>
  </si>
  <si>
    <t>stage_0272</t>
  </si>
  <si>
    <t>stage_0273</t>
  </si>
  <si>
    <t>stage_0274</t>
  </si>
  <si>
    <t>stage_0275</t>
  </si>
  <si>
    <t>stage_0276</t>
  </si>
  <si>
    <t>stage_0277</t>
  </si>
  <si>
    <t>stage_0278</t>
  </si>
  <si>
    <t>stage_0279</t>
  </si>
  <si>
    <t>stage_0280</t>
  </si>
  <si>
    <t>stage_0281</t>
  </si>
  <si>
    <t>stage_0282</t>
  </si>
  <si>
    <t>stage_0283</t>
  </si>
  <si>
    <t>stage_0284</t>
  </si>
  <si>
    <t>stage_0285</t>
  </si>
  <si>
    <t>stage_0286</t>
  </si>
  <si>
    <t>stage_0287</t>
  </si>
  <si>
    <t>stage_0288</t>
  </si>
  <si>
    <t>stage_0289</t>
  </si>
  <si>
    <t>stage_0290</t>
  </si>
  <si>
    <t>stage_0291</t>
  </si>
  <si>
    <t>stage_0292</t>
  </si>
  <si>
    <t>stage_0293</t>
  </si>
  <si>
    <t>stage_0294</t>
  </si>
  <si>
    <t>stage_0295</t>
  </si>
  <si>
    <t>stage_0296</t>
  </si>
  <si>
    <t>stage_0297</t>
  </si>
  <si>
    <t>stage_0298</t>
  </si>
  <si>
    <t>stage_0299</t>
  </si>
  <si>
    <t>stage_0300</t>
  </si>
  <si>
    <t>stage_0301</t>
  </si>
  <si>
    <t>stage_0302</t>
  </si>
  <si>
    <t>stage_0303</t>
  </si>
  <si>
    <t>stage_0304</t>
  </si>
  <si>
    <t>stage_0305</t>
  </si>
  <si>
    <t>stage_0306</t>
  </si>
  <si>
    <t>stage_0307</t>
  </si>
  <si>
    <t>stage_0308</t>
  </si>
  <si>
    <t>stage_0309</t>
  </si>
  <si>
    <t>stage_0310</t>
  </si>
  <si>
    <t>stage_0311</t>
  </si>
  <si>
    <t>stage_0312</t>
  </si>
  <si>
    <t>stage_0313</t>
  </si>
  <si>
    <t>stage_0314</t>
  </si>
  <si>
    <t>stage_0315</t>
  </si>
  <si>
    <t>stage_0316</t>
  </si>
  <si>
    <t>stage_0317</t>
  </si>
  <si>
    <t>stage_0318</t>
  </si>
  <si>
    <t>stage_0319</t>
  </si>
  <si>
    <t>stage_0320</t>
  </si>
  <si>
    <t>stage_0321</t>
  </si>
  <si>
    <t>stage_0322</t>
  </si>
  <si>
    <t>stage_0323</t>
  </si>
  <si>
    <t>stage_0324</t>
  </si>
  <si>
    <t>stage_0325</t>
  </si>
  <si>
    <t>stage_0326</t>
  </si>
  <si>
    <t>stage_0327</t>
  </si>
  <si>
    <t>stage_0328</t>
  </si>
  <si>
    <t>stage_0329</t>
  </si>
  <si>
    <t>stage_0330</t>
  </si>
  <si>
    <t>stage_0331</t>
  </si>
  <si>
    <t>stage_0332</t>
  </si>
  <si>
    <t>stage_0333</t>
  </si>
  <si>
    <t>stage_0334</t>
  </si>
  <si>
    <t>stage_0335</t>
  </si>
  <si>
    <t>stage_0336</t>
  </si>
  <si>
    <t>stage_0337</t>
  </si>
  <si>
    <t>stage_0338</t>
  </si>
  <si>
    <t>stage_0339</t>
  </si>
  <si>
    <t>stage_0340</t>
  </si>
  <si>
    <t>stage_0341</t>
  </si>
  <si>
    <t>stage_0342</t>
  </si>
  <si>
    <t>stage_0343</t>
  </si>
  <si>
    <t>stage_0344</t>
  </si>
  <si>
    <t>stage_0345</t>
  </si>
  <si>
    <t>stage_0346</t>
  </si>
  <si>
    <t>stage_0347</t>
  </si>
  <si>
    <t>stage_0348</t>
  </si>
  <si>
    <t>stage_0349</t>
  </si>
  <si>
    <t>stage_0350</t>
  </si>
  <si>
    <t>stage_0351</t>
  </si>
  <si>
    <t>stage_0352</t>
  </si>
  <si>
    <t>stage_0353</t>
  </si>
  <si>
    <t>stage_0354</t>
  </si>
  <si>
    <t>stage_0355</t>
  </si>
  <si>
    <t>stage_0356</t>
  </si>
  <si>
    <t>stage_0357</t>
  </si>
  <si>
    <t>stage_0358</t>
  </si>
  <si>
    <t>stage_0359</t>
  </si>
  <si>
    <t>stage_0360</t>
  </si>
  <si>
    <t>stage_0361</t>
  </si>
  <si>
    <t>stage_0362</t>
  </si>
  <si>
    <t>stage_0363</t>
  </si>
  <si>
    <t>stage_0364</t>
  </si>
  <si>
    <t>stage_0365</t>
  </si>
  <si>
    <t>stage_0366</t>
  </si>
  <si>
    <t>stage_0367</t>
  </si>
  <si>
    <t>stage_0368</t>
  </si>
  <si>
    <t>stage_0369</t>
  </si>
  <si>
    <t>stage_0370</t>
  </si>
  <si>
    <t>stage_0371</t>
  </si>
  <si>
    <t>stage_0372</t>
  </si>
  <si>
    <t>stage_0373</t>
  </si>
  <si>
    <t>stage_0374</t>
  </si>
  <si>
    <t>stage_0375</t>
  </si>
  <si>
    <t>stage_0376</t>
  </si>
  <si>
    <t>stage_0377</t>
  </si>
  <si>
    <t>stage_0378</t>
  </si>
  <si>
    <t>stage_0379</t>
  </si>
  <si>
    <t>stage_0380</t>
  </si>
  <si>
    <t>stage_0381</t>
  </si>
  <si>
    <t>stage_0382</t>
  </si>
  <si>
    <t>stage_0383</t>
  </si>
  <si>
    <t>stage_0384</t>
  </si>
  <si>
    <t>stage_0385</t>
  </si>
  <si>
    <t>stage_0386</t>
  </si>
  <si>
    <t>stage_0387</t>
  </si>
  <si>
    <t>stage_0388</t>
  </si>
  <si>
    <t>stage_0389</t>
  </si>
  <si>
    <t>stage_0390</t>
  </si>
  <si>
    <t>stage_0391</t>
  </si>
  <si>
    <t>stage_0392</t>
  </si>
  <si>
    <t>stage_0393</t>
  </si>
  <si>
    <t>stage_0394</t>
  </si>
  <si>
    <t>stage_0395</t>
  </si>
  <si>
    <t>stage_0396</t>
  </si>
  <si>
    <t>stage_0397</t>
  </si>
  <si>
    <t>stage_0398</t>
  </si>
  <si>
    <t>stage_0399</t>
  </si>
  <si>
    <t>stage_0400</t>
  </si>
  <si>
    <t>stage_0401</t>
  </si>
  <si>
    <t>stage_0402</t>
  </si>
  <si>
    <t>stage_0403</t>
  </si>
  <si>
    <t>stage_0404</t>
  </si>
  <si>
    <t>stage_0405</t>
  </si>
  <si>
    <t>stage_0406</t>
  </si>
  <si>
    <t>stage_0407</t>
  </si>
  <si>
    <t>stage_0408</t>
  </si>
  <si>
    <t>stage_0409</t>
  </si>
  <si>
    <t>stage_0410</t>
  </si>
  <si>
    <t>stage_0411</t>
  </si>
  <si>
    <t>stage_0412</t>
  </si>
  <si>
    <t>stage_0413</t>
  </si>
  <si>
    <t>stage_0414</t>
  </si>
  <si>
    <t>stage_0415</t>
  </si>
  <si>
    <t>stage_0416</t>
  </si>
  <si>
    <t>stage_0417</t>
  </si>
  <si>
    <t>stage_0418</t>
  </si>
  <si>
    <t>stage_0419</t>
  </si>
  <si>
    <t>stage_0420</t>
  </si>
  <si>
    <t>stage_0421</t>
  </si>
  <si>
    <t>stage_0422</t>
  </si>
  <si>
    <t>stage_0423</t>
  </si>
  <si>
    <t>stage_0424</t>
  </si>
  <si>
    <t>stage_0425</t>
  </si>
  <si>
    <t>stage_0426</t>
  </si>
  <si>
    <t>stage_0427</t>
  </si>
  <si>
    <t>stage_0428</t>
  </si>
  <si>
    <t>stage_0429</t>
  </si>
  <si>
    <t>stage_0430</t>
  </si>
  <si>
    <t>stage_0431</t>
  </si>
  <si>
    <t>stage_0432</t>
  </si>
  <si>
    <t>stage_0433</t>
  </si>
  <si>
    <t>stage_0434</t>
  </si>
  <si>
    <t>stage_0435</t>
  </si>
  <si>
    <t>stage_0436</t>
  </si>
  <si>
    <t>stage_0437</t>
  </si>
  <si>
    <t>stage_0438</t>
  </si>
  <si>
    <t>stage_0439</t>
  </si>
  <si>
    <t>stage_0440</t>
  </si>
  <si>
    <t>stage_0441</t>
  </si>
  <si>
    <t>stage_0442</t>
  </si>
  <si>
    <t>stage_0443</t>
  </si>
  <si>
    <t>stage_0444</t>
  </si>
  <si>
    <t>stage_0445</t>
  </si>
  <si>
    <t>stage_0446</t>
  </si>
  <si>
    <t>stage_0447</t>
  </si>
  <si>
    <t>stage_0448</t>
  </si>
  <si>
    <t>stage_0449</t>
  </si>
  <si>
    <t>stage_0450</t>
  </si>
  <si>
    <t>stage_0451</t>
  </si>
  <si>
    <t>stage_0452</t>
  </si>
  <si>
    <t>stage_0453</t>
  </si>
  <si>
    <t>stage_0454</t>
  </si>
  <si>
    <t>stage_0455</t>
  </si>
  <si>
    <t>stage_0456</t>
  </si>
  <si>
    <t>stage_0457</t>
  </si>
  <si>
    <t>stage_0458</t>
  </si>
  <si>
    <t>stage_0459</t>
  </si>
  <si>
    <t>stage_0460</t>
  </si>
  <si>
    <t>stage_0461</t>
  </si>
  <si>
    <t>stage_0462</t>
  </si>
  <si>
    <t>stage_0463</t>
  </si>
  <si>
    <t>stage_0464</t>
  </si>
  <si>
    <t>stage_0465</t>
  </si>
  <si>
    <t>stage_0466</t>
  </si>
  <si>
    <t>stage_0467</t>
  </si>
  <si>
    <t>stage_0468</t>
  </si>
  <si>
    <t>stage_0469</t>
  </si>
  <si>
    <t>stage_0470</t>
  </si>
  <si>
    <t>stage_0471</t>
  </si>
  <si>
    <t>stage_0472</t>
  </si>
  <si>
    <t>stage_0473</t>
  </si>
  <si>
    <t>stage_0474</t>
  </si>
  <si>
    <t>stage_0475</t>
  </si>
  <si>
    <t>stage_0476</t>
  </si>
  <si>
    <t>stage_0477</t>
  </si>
  <si>
    <t>stage_0478</t>
  </si>
  <si>
    <t>stage_0479</t>
  </si>
  <si>
    <t>stage_0480</t>
  </si>
  <si>
    <t>stage_0481</t>
  </si>
  <si>
    <t>stage_0482</t>
  </si>
  <si>
    <t>stage_0483</t>
  </si>
  <si>
    <t>stage_0484</t>
  </si>
  <si>
    <t>stage_0485</t>
  </si>
  <si>
    <t>stage_0486</t>
  </si>
  <si>
    <t>stage_0487</t>
  </si>
  <si>
    <t>stage_0488</t>
  </si>
  <si>
    <t>stage_0489</t>
  </si>
  <si>
    <t>stage_0490</t>
  </si>
  <si>
    <t>stage_0491</t>
  </si>
  <si>
    <t>stage_0492</t>
  </si>
  <si>
    <t>stage_0493</t>
  </si>
  <si>
    <t>stage_0494</t>
  </si>
  <si>
    <t>stage_0495</t>
  </si>
  <si>
    <t>stage_0496</t>
  </si>
  <si>
    <t>stage_0497</t>
  </si>
  <si>
    <t>stage_0498</t>
  </si>
  <si>
    <t>stage_0499</t>
  </si>
  <si>
    <t>stage_0500</t>
  </si>
  <si>
    <t>stage_0501</t>
  </si>
  <si>
    <t>stage_0502</t>
  </si>
  <si>
    <t>stage_0503</t>
  </si>
  <si>
    <t>stage_0504</t>
  </si>
  <si>
    <t>stage_0505</t>
  </si>
  <si>
    <t>stage_0506</t>
  </si>
  <si>
    <t>stage_0507</t>
  </si>
  <si>
    <t>stage_0508</t>
  </si>
  <si>
    <t>stage_0509</t>
  </si>
  <si>
    <t>stage_0510</t>
  </si>
  <si>
    <t>stage_0511</t>
  </si>
  <si>
    <t>stage_0512</t>
  </si>
  <si>
    <t>stage_0513</t>
  </si>
  <si>
    <t>stage_0514</t>
  </si>
  <si>
    <t>stage_0515</t>
  </si>
  <si>
    <t>stage_0516</t>
  </si>
  <si>
    <t>stage_0517</t>
  </si>
  <si>
    <t>stage_0518</t>
  </si>
  <si>
    <t>stage_0519</t>
  </si>
  <si>
    <t>stage_0520</t>
  </si>
  <si>
    <t>stage_0521</t>
  </si>
  <si>
    <t>stage_0522</t>
  </si>
  <si>
    <t>stage_0523</t>
  </si>
  <si>
    <t>stage_0524</t>
  </si>
  <si>
    <t>stage_0525</t>
  </si>
  <si>
    <t>stage_0526</t>
  </si>
  <si>
    <t>stage_0527</t>
  </si>
  <si>
    <t>stage_0528</t>
  </si>
  <si>
    <t>stage_0529</t>
  </si>
  <si>
    <t>stage_0530</t>
  </si>
  <si>
    <t>stage_0531</t>
  </si>
  <si>
    <t>stage_0532</t>
  </si>
  <si>
    <t>stage_0533</t>
  </si>
  <si>
    <t>stage_0534</t>
  </si>
  <si>
    <t>stage_0535</t>
  </si>
  <si>
    <t>stage_0536</t>
  </si>
  <si>
    <t>stage_0537</t>
  </si>
  <si>
    <t>stage_0538</t>
  </si>
  <si>
    <t>stage_0539</t>
  </si>
  <si>
    <t>stage_0540</t>
  </si>
  <si>
    <t>stage_0541</t>
  </si>
  <si>
    <t>stage_0542</t>
  </si>
  <si>
    <t>stage_0543</t>
  </si>
  <si>
    <t>stage_0544</t>
  </si>
  <si>
    <t>stage_0545</t>
  </si>
  <si>
    <t>stage_0546</t>
  </si>
  <si>
    <t>stage_0547</t>
  </si>
  <si>
    <t>stage_0548</t>
  </si>
  <si>
    <t>stage_0549</t>
  </si>
  <si>
    <t>stage_0550</t>
  </si>
  <si>
    <t>stage_0551</t>
  </si>
  <si>
    <t>stage_0552</t>
  </si>
  <si>
    <t>stage_0553</t>
  </si>
  <si>
    <t>stage_0554</t>
  </si>
  <si>
    <t>stage_0555</t>
  </si>
  <si>
    <t>stage_0556</t>
  </si>
  <si>
    <t>stage_0557</t>
  </si>
  <si>
    <t>stage_0558</t>
  </si>
  <si>
    <t>stage_0559</t>
  </si>
  <si>
    <t>stage_0560</t>
  </si>
  <si>
    <t>stage_0561</t>
  </si>
  <si>
    <t>stage_0562</t>
  </si>
  <si>
    <t>stage_0563</t>
  </si>
  <si>
    <t>stage_0564</t>
  </si>
  <si>
    <t>stage_0565</t>
  </si>
  <si>
    <t>stage_0566</t>
  </si>
  <si>
    <t>stage_0567</t>
  </si>
  <si>
    <t>stage_0568</t>
  </si>
  <si>
    <t>stage_0569</t>
  </si>
  <si>
    <t>stage_0570</t>
  </si>
  <si>
    <t>stage_0571</t>
  </si>
  <si>
    <t>stage_0572</t>
  </si>
  <si>
    <t>stage_0573</t>
  </si>
  <si>
    <t>stage_0574</t>
  </si>
  <si>
    <t>stage_0575</t>
  </si>
  <si>
    <t>stage_0576</t>
  </si>
  <si>
    <t>stage_0577</t>
  </si>
  <si>
    <t>stage_0578</t>
  </si>
  <si>
    <t>stage_0579</t>
  </si>
  <si>
    <t>stage_0580</t>
  </si>
  <si>
    <t>stage_0581</t>
  </si>
  <si>
    <t>stage_0582</t>
  </si>
  <si>
    <t>stage_0583</t>
  </si>
  <si>
    <t>stage_0584</t>
  </si>
  <si>
    <t>stage_0585</t>
  </si>
  <si>
    <t>stage_0586</t>
  </si>
  <si>
    <t>stage_0587</t>
  </si>
  <si>
    <t>stage_0588</t>
  </si>
  <si>
    <t>stage_0589</t>
  </si>
  <si>
    <t>stage_0590</t>
  </si>
  <si>
    <t>stage_0591</t>
  </si>
  <si>
    <t>stage_0592</t>
  </si>
  <si>
    <t>stage_0593</t>
  </si>
  <si>
    <t>stage_0594</t>
  </si>
  <si>
    <t>stage_0595</t>
  </si>
  <si>
    <t>stage_0596</t>
  </si>
  <si>
    <t>stage_0597</t>
  </si>
  <si>
    <t>stage_0598</t>
  </si>
  <si>
    <t>stage_0599</t>
  </si>
  <si>
    <t>stage_0600</t>
  </si>
  <si>
    <t>stage_0601</t>
  </si>
  <si>
    <t>stage_0602</t>
  </si>
  <si>
    <t>stage_0603</t>
  </si>
  <si>
    <t>stage_0604</t>
  </si>
  <si>
    <t>stage_0605</t>
  </si>
  <si>
    <t>stage_0606</t>
  </si>
  <si>
    <t>stage_0607</t>
  </si>
  <si>
    <t>stage_0608</t>
  </si>
  <si>
    <t>stage_0609</t>
  </si>
  <si>
    <t>stage_0610</t>
  </si>
  <si>
    <t>stage_0611</t>
  </si>
  <si>
    <t>stage_0612</t>
  </si>
  <si>
    <t>stage_0613</t>
  </si>
  <si>
    <t>stage_0614</t>
  </si>
  <si>
    <t>stage_0615</t>
  </si>
  <si>
    <t>stage_0616</t>
  </si>
  <si>
    <t>stage_0617</t>
  </si>
  <si>
    <t>stage_0618</t>
  </si>
  <si>
    <t>stage_0619</t>
  </si>
  <si>
    <t>stage_0620</t>
  </si>
  <si>
    <t>stage_0621</t>
  </si>
  <si>
    <t>stage_0622</t>
  </si>
  <si>
    <t>stage_0623</t>
  </si>
  <si>
    <t>stage_0624</t>
  </si>
  <si>
    <t>stage_0625</t>
  </si>
  <si>
    <t>stage_0626</t>
  </si>
  <si>
    <t>stage_0627</t>
  </si>
  <si>
    <t>stage_0628</t>
  </si>
  <si>
    <t>stage_0629</t>
  </si>
  <si>
    <t>stage_0630</t>
  </si>
  <si>
    <t>stage_0631</t>
  </si>
  <si>
    <t>stage_0632</t>
  </si>
  <si>
    <t>stage_0633</t>
  </si>
  <si>
    <t>stage_0634</t>
  </si>
  <si>
    <t>stage_0635</t>
  </si>
  <si>
    <t>stage_0636</t>
  </si>
  <si>
    <t>stage_0637</t>
  </si>
  <si>
    <t>stage_0638</t>
  </si>
  <si>
    <t>stage_0639</t>
  </si>
  <si>
    <t>stage_0640</t>
  </si>
  <si>
    <t>stage_0641</t>
  </si>
  <si>
    <t>stage_0642</t>
  </si>
  <si>
    <t>stage_0643</t>
  </si>
  <si>
    <t>stage_0644</t>
  </si>
  <si>
    <t>stage_0645</t>
  </si>
  <si>
    <t>stage_0646</t>
  </si>
  <si>
    <t>stage_0647</t>
  </si>
  <si>
    <t>stage_0648</t>
  </si>
  <si>
    <t>stage_0649</t>
  </si>
  <si>
    <t>stage_0650</t>
  </si>
  <si>
    <t>stage_0651</t>
  </si>
  <si>
    <t>stage_0652</t>
  </si>
  <si>
    <t>stage_0653</t>
  </si>
  <si>
    <t>stage_0654</t>
  </si>
  <si>
    <t>stage_0655</t>
  </si>
  <si>
    <t>stage_0656</t>
  </si>
  <si>
    <t>stage_0657</t>
  </si>
  <si>
    <t>stage_0658</t>
  </si>
  <si>
    <t>stage_0659</t>
  </si>
  <si>
    <t>stage_0660</t>
  </si>
  <si>
    <t>stage_0661</t>
  </si>
  <si>
    <t>stage_0662</t>
  </si>
  <si>
    <t>stage_0663</t>
  </si>
  <si>
    <t>stage_0664</t>
  </si>
  <si>
    <t>stage_0665</t>
  </si>
  <si>
    <t>stage_0666</t>
  </si>
  <si>
    <t>stage_0667</t>
  </si>
  <si>
    <t>stage_0668</t>
  </si>
  <si>
    <t>stage_0669</t>
  </si>
  <si>
    <t>stage_0670</t>
  </si>
  <si>
    <t>stage_0671</t>
  </si>
  <si>
    <t>stage_0672</t>
  </si>
  <si>
    <t>stage_0673</t>
  </si>
  <si>
    <t>stage_0674</t>
  </si>
  <si>
    <t>stage_0675</t>
  </si>
  <si>
    <t>stage_0676</t>
  </si>
  <si>
    <t>stage_0677</t>
  </si>
  <si>
    <t>stage_0678</t>
  </si>
  <si>
    <t>stage_0679</t>
  </si>
  <si>
    <t>stage_0680</t>
  </si>
  <si>
    <t>stage_0681</t>
  </si>
  <si>
    <t>stage_0682</t>
  </si>
  <si>
    <t>stage_0683</t>
  </si>
  <si>
    <t>stage_0684</t>
  </si>
  <si>
    <t>stage_0685</t>
  </si>
  <si>
    <t>stage_0686</t>
  </si>
  <si>
    <t>stage_0687</t>
  </si>
  <si>
    <t>stage_0688</t>
  </si>
  <si>
    <t>stage_0689</t>
  </si>
  <si>
    <t>stage_0690</t>
  </si>
  <si>
    <t>stage_0691</t>
  </si>
  <si>
    <t>stage_0692</t>
  </si>
  <si>
    <t>stage_0693</t>
  </si>
  <si>
    <t>stage_0694</t>
  </si>
  <si>
    <t>stage_0695</t>
  </si>
  <si>
    <t>stage_0696</t>
  </si>
  <si>
    <t>stage_0697</t>
  </si>
  <si>
    <t>stage_0698</t>
  </si>
  <si>
    <t>stage_0699</t>
  </si>
  <si>
    <t>stage_0700</t>
  </si>
  <si>
    <t>stage_0701</t>
  </si>
  <si>
    <t>stage_0702</t>
  </si>
  <si>
    <t>stage_0703</t>
  </si>
  <si>
    <t>stage_0704</t>
  </si>
  <si>
    <t>stage_0705</t>
  </si>
  <si>
    <t>stage_0706</t>
  </si>
  <si>
    <t>stage_0707</t>
  </si>
  <si>
    <t>stage_0708</t>
  </si>
  <si>
    <t>stage_0709</t>
  </si>
  <si>
    <t>stage_0710</t>
  </si>
  <si>
    <t>stage_0711</t>
  </si>
  <si>
    <t>stage_0712</t>
  </si>
  <si>
    <t>stage_0713</t>
  </si>
  <si>
    <t>stage_0714</t>
  </si>
  <si>
    <t>stage_0715</t>
  </si>
  <si>
    <t>stage_0716</t>
  </si>
  <si>
    <t>stage_0717</t>
  </si>
  <si>
    <t>stage_0718</t>
  </si>
  <si>
    <t>stage_0719</t>
  </si>
  <si>
    <t>stage_0720</t>
  </si>
  <si>
    <t>stage_0721</t>
  </si>
  <si>
    <t>stage_0722</t>
  </si>
  <si>
    <t>stage_0723</t>
  </si>
  <si>
    <t>stage_0724</t>
  </si>
  <si>
    <t>stage_0725</t>
  </si>
  <si>
    <t>stage_0726</t>
  </si>
  <si>
    <t>stage_0727</t>
  </si>
  <si>
    <t>stage_0728</t>
  </si>
  <si>
    <t>stage_0729</t>
  </si>
  <si>
    <t>stage_0730</t>
  </si>
  <si>
    <t>stage_0731</t>
  </si>
  <si>
    <t>stage_0732</t>
  </si>
  <si>
    <t>stage_0733</t>
  </si>
  <si>
    <t>stage_0734</t>
  </si>
  <si>
    <t>stage_0735</t>
  </si>
  <si>
    <t>stage_0736</t>
  </si>
  <si>
    <t>stage_0737</t>
  </si>
  <si>
    <t>stage_0738</t>
  </si>
  <si>
    <t>stage_0739</t>
  </si>
  <si>
    <t>stage_0740</t>
  </si>
  <si>
    <t>stage_0741</t>
  </si>
  <si>
    <t>stage_0742</t>
  </si>
  <si>
    <t>stage_0743</t>
  </si>
  <si>
    <t>stage_0744</t>
  </si>
  <si>
    <t>stage_0745</t>
  </si>
  <si>
    <t>stage_0746</t>
  </si>
  <si>
    <t>stage_0747</t>
  </si>
  <si>
    <t>stage_0748</t>
  </si>
  <si>
    <t>stage_0749</t>
  </si>
  <si>
    <t>stage_0750</t>
  </si>
  <si>
    <t>stage_0751</t>
  </si>
  <si>
    <t>stage_0752</t>
  </si>
  <si>
    <t>stage_0753</t>
  </si>
  <si>
    <t>stage_0754</t>
  </si>
  <si>
    <t>stage_0755</t>
  </si>
  <si>
    <t>stage_0756</t>
  </si>
  <si>
    <t>stage_0757</t>
  </si>
  <si>
    <t>stage_0758</t>
  </si>
  <si>
    <t>stage_0759</t>
  </si>
  <si>
    <t>stage_0760</t>
  </si>
  <si>
    <t>stage_0761</t>
  </si>
  <si>
    <t>stage_0762</t>
  </si>
  <si>
    <t>stage_0763</t>
  </si>
  <si>
    <t>stage_0764</t>
  </si>
  <si>
    <t>stage_0765</t>
  </si>
  <si>
    <t>stage_0766</t>
  </si>
  <si>
    <t>stage_0767</t>
  </si>
  <si>
    <t>stage_0768</t>
  </si>
  <si>
    <t>stage_0769</t>
  </si>
  <si>
    <t>stage_0770</t>
  </si>
  <si>
    <t>stage_0771</t>
  </si>
  <si>
    <t>stage_0772</t>
  </si>
  <si>
    <t>stage_0773</t>
  </si>
  <si>
    <t>stage_0774</t>
  </si>
  <si>
    <t>stage_0775</t>
  </si>
  <si>
    <t>stage_0776</t>
  </si>
  <si>
    <t>stage_0777</t>
  </si>
  <si>
    <t>stage_0778</t>
  </si>
  <si>
    <t>stage_0779</t>
  </si>
  <si>
    <t>stage_0780</t>
  </si>
  <si>
    <t>stage_0781</t>
  </si>
  <si>
    <t>stage_0782</t>
  </si>
  <si>
    <t>stage_0783</t>
  </si>
  <si>
    <t>stage_0784</t>
  </si>
  <si>
    <t>stage_0785</t>
  </si>
  <si>
    <t>stage_0786</t>
  </si>
  <si>
    <t>stage_0787</t>
  </si>
  <si>
    <t>stage_0788</t>
  </si>
  <si>
    <t>stage_0789</t>
  </si>
  <si>
    <t>stage_0790</t>
  </si>
  <si>
    <t>stage_0791</t>
  </si>
  <si>
    <t>stage_0792</t>
  </si>
  <si>
    <t>stage_0793</t>
  </si>
  <si>
    <t>stage_0794</t>
  </si>
  <si>
    <t>stage_0795</t>
  </si>
  <si>
    <t>stage_0796</t>
  </si>
  <si>
    <t>stage_0797</t>
  </si>
  <si>
    <t>stage_0798</t>
  </si>
  <si>
    <t>stage_0799</t>
  </si>
  <si>
    <t>stage_0800</t>
  </si>
  <si>
    <t>stage_0801</t>
  </si>
  <si>
    <t>stage_0802</t>
  </si>
  <si>
    <t>stage_0803</t>
  </si>
  <si>
    <t>stage_0804</t>
  </si>
  <si>
    <t>stage_0805</t>
  </si>
  <si>
    <t>stage_0806</t>
  </si>
  <si>
    <t>stage_0807</t>
  </si>
  <si>
    <t>stage_0808</t>
  </si>
  <si>
    <t>stage_0809</t>
  </si>
  <si>
    <t>stage_0810</t>
  </si>
  <si>
    <t>stage_0811</t>
  </si>
  <si>
    <t>stage_0812</t>
  </si>
  <si>
    <t>stage_0813</t>
  </si>
  <si>
    <t>stage_0814</t>
  </si>
  <si>
    <t>stage_0815</t>
  </si>
  <si>
    <t>stage_0816</t>
  </si>
  <si>
    <t>stage_0817</t>
  </si>
  <si>
    <t>stage_0818</t>
  </si>
  <si>
    <t>stage_0819</t>
  </si>
  <si>
    <t>stage_0820</t>
  </si>
  <si>
    <t>stage_0821</t>
  </si>
  <si>
    <t>stage_0822</t>
  </si>
  <si>
    <t>stage_0823</t>
  </si>
  <si>
    <t>stage_0824</t>
  </si>
  <si>
    <t>stage_0825</t>
  </si>
  <si>
    <t>stage_0826</t>
  </si>
  <si>
    <t>stage_0827</t>
  </si>
  <si>
    <t>stage_0828</t>
  </si>
  <si>
    <t>stage_0829</t>
  </si>
  <si>
    <t>stage_0830</t>
  </si>
  <si>
    <t>stage_0831</t>
  </si>
  <si>
    <t>stage_0832</t>
  </si>
  <si>
    <t>stage_0833</t>
  </si>
  <si>
    <t>stage_0834</t>
  </si>
  <si>
    <t>stage_0835</t>
  </si>
  <si>
    <t>stage_0836</t>
  </si>
  <si>
    <t>stage_0837</t>
  </si>
  <si>
    <t>stage_0838</t>
  </si>
  <si>
    <t>stage_0839</t>
  </si>
  <si>
    <t>stage_0840</t>
  </si>
  <si>
    <t>stage_0841</t>
  </si>
  <si>
    <t>stage_0842</t>
  </si>
  <si>
    <t>stage_0843</t>
  </si>
  <si>
    <t>stage_0844</t>
  </si>
  <si>
    <t>stage_0845</t>
  </si>
  <si>
    <t>stage_0846</t>
  </si>
  <si>
    <t>stage_0847</t>
  </si>
  <si>
    <t>stage_0848</t>
  </si>
  <si>
    <t>stage_0849</t>
  </si>
  <si>
    <t>stage_0850</t>
  </si>
  <si>
    <t>stage_0851</t>
  </si>
  <si>
    <t>stage_0852</t>
  </si>
  <si>
    <t>stage_0853</t>
  </si>
  <si>
    <t>stage_0854</t>
  </si>
  <si>
    <t>stage_0855</t>
  </si>
  <si>
    <t>stage_0856</t>
  </si>
  <si>
    <t>stage_0857</t>
  </si>
  <si>
    <t>stage_0858</t>
  </si>
  <si>
    <t>stage_0859</t>
  </si>
  <si>
    <t>stage_0860</t>
  </si>
  <si>
    <t>stage_0861</t>
  </si>
  <si>
    <t>stage_0862</t>
  </si>
  <si>
    <t>stage_0863</t>
  </si>
  <si>
    <t>stage_0864</t>
  </si>
  <si>
    <t>stage_0865</t>
  </si>
  <si>
    <t>stage_0866</t>
  </si>
  <si>
    <t>stage_0867</t>
  </si>
  <si>
    <t>stage_0868</t>
  </si>
  <si>
    <t>stage_0869</t>
  </si>
  <si>
    <t>stage_0870</t>
  </si>
  <si>
    <t>stage_0871</t>
  </si>
  <si>
    <t>stage_0872</t>
  </si>
  <si>
    <t>stage_0873</t>
  </si>
  <si>
    <t>stage_0874</t>
  </si>
  <si>
    <t>stage_0875</t>
  </si>
  <si>
    <t>stage_0876</t>
  </si>
  <si>
    <t>stage_0877</t>
  </si>
  <si>
    <t>stage_0878</t>
  </si>
  <si>
    <t>stage_0879</t>
  </si>
  <si>
    <t>stage_0880</t>
  </si>
  <si>
    <t>stage_0881</t>
  </si>
  <si>
    <t>stage_0882</t>
  </si>
  <si>
    <t>stage_0883</t>
  </si>
  <si>
    <t>stage_0884</t>
  </si>
  <si>
    <t>stage_0885</t>
  </si>
  <si>
    <t>stage_0886</t>
  </si>
  <si>
    <t>stage_0887</t>
  </si>
  <si>
    <t>stage_0888</t>
  </si>
  <si>
    <t>stage_0889</t>
  </si>
  <si>
    <t>stage_0890</t>
  </si>
  <si>
    <t>stage_0891</t>
  </si>
  <si>
    <t>stage_0892</t>
  </si>
  <si>
    <t>stage_0893</t>
  </si>
  <si>
    <t>stage_0894</t>
  </si>
  <si>
    <t>stage_0895</t>
  </si>
  <si>
    <t>stage_0896</t>
  </si>
  <si>
    <t>stage_0897</t>
  </si>
  <si>
    <t>stage_0898</t>
  </si>
  <si>
    <t>stage_0899</t>
  </si>
  <si>
    <t>stage_0900</t>
  </si>
  <si>
    <t>stage_0901</t>
  </si>
  <si>
    <t>stage_0902</t>
  </si>
  <si>
    <t>stage_0903</t>
  </si>
  <si>
    <t>stage_0904</t>
  </si>
  <si>
    <t>stage_0905</t>
  </si>
  <si>
    <t>stage_0906</t>
  </si>
  <si>
    <t>stage_0907</t>
  </si>
  <si>
    <t>stage_0908</t>
  </si>
  <si>
    <t>stage_0909</t>
  </si>
  <si>
    <t>stage_0910</t>
  </si>
  <si>
    <t>stage_0911</t>
  </si>
  <si>
    <t>stage_0912</t>
  </si>
  <si>
    <t>stage_0913</t>
  </si>
  <si>
    <t>stage_0914</t>
  </si>
  <si>
    <t>stage_0915</t>
  </si>
  <si>
    <t>stage_0916</t>
  </si>
  <si>
    <t>stage_0917</t>
  </si>
  <si>
    <t>stage_0918</t>
  </si>
  <si>
    <t>stage_0919</t>
  </si>
  <si>
    <t>stage_0920</t>
  </si>
  <si>
    <t>stage_0921</t>
  </si>
  <si>
    <t>stage_0922</t>
  </si>
  <si>
    <t>stage_0923</t>
  </si>
  <si>
    <t>stage_0924</t>
  </si>
  <si>
    <t>stage_0925</t>
  </si>
  <si>
    <t>stage_0926</t>
  </si>
  <si>
    <t>stage_0927</t>
  </si>
  <si>
    <t>stage_0928</t>
  </si>
  <si>
    <t>stage_0929</t>
  </si>
  <si>
    <t>stage_0930</t>
  </si>
  <si>
    <t>stage_0931</t>
  </si>
  <si>
    <t>stage_0932</t>
  </si>
  <si>
    <t>stage_0933</t>
  </si>
  <si>
    <t>stage_0934</t>
  </si>
  <si>
    <t>stage_0935</t>
  </si>
  <si>
    <t>stage_0936</t>
  </si>
  <si>
    <t>stage_0937</t>
  </si>
  <si>
    <t>stage_0938</t>
  </si>
  <si>
    <t>stage_0939</t>
  </si>
  <si>
    <t>stage_0940</t>
  </si>
  <si>
    <t>stage_0941</t>
  </si>
  <si>
    <t>stage_0942</t>
  </si>
  <si>
    <t>stage_0943</t>
  </si>
  <si>
    <t>stage_0944</t>
  </si>
  <si>
    <t>stage_0945</t>
  </si>
  <si>
    <t>stage_0946</t>
  </si>
  <si>
    <t>stage_0947</t>
  </si>
  <si>
    <t>stage_0948</t>
  </si>
  <si>
    <t>stage_0949</t>
  </si>
  <si>
    <t>stage_0950</t>
  </si>
  <si>
    <t>stage_0951</t>
  </si>
  <si>
    <t>stage_0952</t>
  </si>
  <si>
    <t>stage_0953</t>
  </si>
  <si>
    <t>stage_0954</t>
  </si>
  <si>
    <t>stage_0955</t>
  </si>
  <si>
    <t>stage_0956</t>
  </si>
  <si>
    <t>stage_0957</t>
  </si>
  <si>
    <t>stage_0958</t>
  </si>
  <si>
    <t>stage_0959</t>
  </si>
  <si>
    <t>stage_0960</t>
  </si>
  <si>
    <t>stage_0961</t>
  </si>
  <si>
    <t>stage_0962</t>
  </si>
  <si>
    <t>stage_0963</t>
  </si>
  <si>
    <t>stage_0964</t>
  </si>
  <si>
    <t>stage_0965</t>
  </si>
  <si>
    <t>stage_0966</t>
  </si>
  <si>
    <t>stage_0967</t>
  </si>
  <si>
    <t>stage_0968</t>
  </si>
  <si>
    <t>stage_0969</t>
  </si>
  <si>
    <t>stage_0970</t>
  </si>
  <si>
    <t>stage_0971</t>
  </si>
  <si>
    <t>stage_0972</t>
  </si>
  <si>
    <t>stage_0973</t>
  </si>
  <si>
    <t>stage_0974</t>
  </si>
  <si>
    <t>stage_0975</t>
  </si>
  <si>
    <t>stage_0976</t>
  </si>
  <si>
    <t>stage_0977</t>
  </si>
  <si>
    <t>stage_0978</t>
  </si>
  <si>
    <t>stage_0979</t>
  </si>
  <si>
    <t>stage_0980</t>
  </si>
  <si>
    <t>stage_0981</t>
  </si>
  <si>
    <t>stage_0982</t>
  </si>
  <si>
    <t>stage_0983</t>
  </si>
  <si>
    <t>stage_0984</t>
  </si>
  <si>
    <t>stage_0985</t>
  </si>
  <si>
    <t>stage_0986</t>
  </si>
  <si>
    <t>stage_0987</t>
  </si>
  <si>
    <t>stage_0988</t>
  </si>
  <si>
    <t>stage_0989</t>
  </si>
  <si>
    <t>stage_0990</t>
  </si>
  <si>
    <t>stage_0991</t>
  </si>
  <si>
    <t>stage_0992</t>
  </si>
  <si>
    <t>stage_0993</t>
  </si>
  <si>
    <t>stage_0994</t>
  </si>
  <si>
    <t>stage_0995</t>
  </si>
  <si>
    <t>stage_0996</t>
  </si>
  <si>
    <t>stage_0997</t>
  </si>
  <si>
    <t>stage_0998</t>
  </si>
  <si>
    <t>stage_0999</t>
  </si>
  <si>
    <t>stage_1000</t>
  </si>
  <si>
    <t>type</t>
  </si>
  <si>
    <t>path</t>
  </si>
  <si>
    <t>리소스 ID</t>
  </si>
  <si>
    <t>리소스 식별자</t>
  </si>
  <si>
    <t>리소스 종류</t>
  </si>
  <si>
    <t>Resources 상대 경로</t>
  </si>
  <si>
    <t>enemy_ed0</t>
  </si>
  <si>
    <t>Sprite</t>
  </si>
  <si>
    <t>Art/Dream/Characters/Critters/Mushrooms/ed0</t>
  </si>
  <si>
    <t>enemy_ed1</t>
  </si>
  <si>
    <t>Art/Dream/Characters/Critters/Mushrooms/ed1</t>
  </si>
  <si>
    <t>enemy_ed2</t>
  </si>
  <si>
    <t>Art/Dream/Characters/Critters/Mushrooms/ed2</t>
  </si>
  <si>
    <t>enemy_ed3</t>
  </si>
  <si>
    <t>Art/Dream/Characters/Critters/Mushrooms/ed3</t>
  </si>
  <si>
    <t>enemy_ed4</t>
  </si>
  <si>
    <t>Art/Dream/Characters/Critters/Mushrooms/ed4</t>
  </si>
  <si>
    <t>enemy_ed5</t>
  </si>
  <si>
    <t>Art/Dream/Characters/Critters/Mushrooms/ed5</t>
  </si>
  <si>
    <t>enemy_ed6</t>
  </si>
  <si>
    <t>Art/Dream/Characters/Critters/Mushrooms/ed6</t>
  </si>
  <si>
    <t>enemy_ed7</t>
  </si>
  <si>
    <t>Art/Dream/Characters/Critters/Mushrooms/ed7</t>
  </si>
  <si>
    <t>enemy_ed8</t>
  </si>
  <si>
    <t>Art/Dream/Characters/Critters/Mushrooms/ed8</t>
  </si>
  <si>
    <t>enemy_ed9</t>
  </si>
  <si>
    <t>Art/Dream/Characters/Critters/Mushrooms/ed9</t>
  </si>
  <si>
    <t>boss_beak</t>
  </si>
  <si>
    <t>Art/Dream/Characters/Critters/Bosses/boss1</t>
  </si>
  <si>
    <t>boss_grandpa</t>
  </si>
  <si>
    <t>Art/Dream/Characters/Grandpa/grandpa_ref</t>
  </si>
  <si>
    <t>ggoma_leaf</t>
  </si>
  <si>
    <t>Art/Dream/Characters/Critters/Ggomas/icon_leaf</t>
  </si>
  <si>
    <t>ggoma_dew</t>
  </si>
  <si>
    <t>Art/Dream/Characters/Critters/Ggomas/icon_dew</t>
  </si>
  <si>
    <t>ggoma_wind</t>
  </si>
  <si>
    <t>Art/Dream/Characters/Critters/Ggomas/icon_wind</t>
  </si>
  <si>
    <t>ggoma_fire</t>
  </si>
  <si>
    <t>Art/Dream/Characters/Critters/Ggomas/icon_fire</t>
  </si>
  <si>
    <t>ggoma_rock</t>
  </si>
  <si>
    <t>Art/Dream/Characters/Critters/Ggomas/icon_rock</t>
  </si>
  <si>
    <t>ggoma_star</t>
  </si>
  <si>
    <t>Art/Dream/Characters/Critters/Ggomas/icon_star</t>
  </si>
  <si>
    <t>ggoma_coin</t>
  </si>
  <si>
    <t>Art/Dream/Characters/Critters/Ggomas/icon_coin</t>
  </si>
  <si>
    <t>ggoma_chest</t>
  </si>
  <si>
    <t>Art/Dream/Characters/Critters/Ggomas/icon_chest</t>
  </si>
  <si>
    <t>stat_Attack</t>
  </si>
  <si>
    <t>Art/Dream/Icons/hammer</t>
  </si>
  <si>
    <t>stat_Hp</t>
  </si>
  <si>
    <t>Art/Dream/Icons/mushtree</t>
  </si>
  <si>
    <t>stat_HpRegen</t>
  </si>
  <si>
    <t>Art/Dream/Icons/t_forest</t>
  </si>
  <si>
    <t>stat_Speed</t>
  </si>
  <si>
    <t>Art/Dream/Icons/clock</t>
  </si>
  <si>
    <t>stat_CritChance</t>
  </si>
  <si>
    <t>Art/Dream/Icons/gem</t>
  </si>
  <si>
    <t>stat_CritDamage</t>
  </si>
  <si>
    <t>Art/Dream/Icons/f_beauty</t>
  </si>
  <si>
    <t>stat_GoldBonus</t>
  </si>
  <si>
    <t>Art/Dream/Icons/gold</t>
  </si>
  <si>
    <t>MoreMustMush 통합 테이블</t>
  </si>
  <si>
    <t>2026-10-30 / v1</t>
  </si>
  <si>
    <t>구분 / 시트</t>
  </si>
  <si>
    <t>항목 / 컬럼</t>
  </si>
  <si>
    <t>사용법 및 읽는 법</t>
  </si>
  <si>
    <t>예시 / 자료형</t>
  </si>
  <si>
    <t>기본</t>
  </si>
  <si>
    <t>파일 목적</t>
  </si>
  <si>
    <t>방치형 통합 데이터 초안. 적, 보스, 꼬마, 업그레이드, 스테이지, 리소스를 한 파일에서 관리한다.</t>
  </si>
  <si>
    <t>2026-10-30 / schema v1</t>
  </si>
  <si>
    <t>현재 적용 범위</t>
  </si>
  <si>
    <t>Unity 임포트, 구조/참조/리소스 검증, bytes 복사까지 연결했다. 현재 전투·강화·편성 수치는 여전히 기존 C# 코드를 사용한다.</t>
  </si>
  <si>
    <t>게임 수치 전환은 별도 작업</t>
  </si>
  <si>
    <t>name은 향후 화면 표시용 데이터다. 보스 이름 표시 기능은 이번 작업에 포함하지 않는다.</t>
  </si>
  <si>
    <t>현재 이름 2종은 임시</t>
  </si>
  <si>
    <t>읽기</t>
  </si>
  <si>
    <t>1행</t>
  </si>
  <si>
    <t>컬럼의 영문 키. 임포터가 이 이름으로 읽으므로 임의로 이름을 바꾸지 않는다.</t>
  </si>
  <si>
    <t>2행</t>
  </si>
  <si>
    <t>자료형. 정수 int/long, 실수 double, 문자열 string, ID 목록 int[], 고정값 IdleStat/Currency를 구분한다.</t>
  </si>
  <si>
    <t>금액은 숫자 1000, ID 목록은 문자열 1001,1002</t>
  </si>
  <si>
    <t>3행</t>
  </si>
  <si>
    <t>한글 설명이자 Excel 필터 행. 이 행의 필터로 4행 이후 데이터만 정렬/검색한다.</t>
  </si>
  <si>
    <t>1~3행은 삭제하지 않는다</t>
  </si>
  <si>
    <t>4행 이후</t>
  </si>
  <si>
    <t>한 행이 정의 한 개다. 행 전체가 빈 경우만 건너뛴다. 값이 있는 행에는 index를 반드시 적는다.</t>
  </si>
  <si>
    <t>ID와 key는 각 시트 안에서 고유</t>
  </si>
  <si>
    <t># 컬럼</t>
  </si>
  <si>
    <t>영문 키가 #으로 시작하면 계산 미리보기/메모다. 게임용 컬럼에서 제외한다.</t>
  </si>
  <si>
    <t>#bossHp / #priceAtLv10</t>
  </si>
  <si>
    <t>연결</t>
  </si>
  <si>
    <t>리소스 참조</t>
  </si>
  <si>
    <t>적·보스·꼬마·업그레이드.resourceId를 리소스.index에서 찾아 path와 type을 읽는다.</t>
  </si>
  <si>
    <t>resourceId → 리소스.index → path</t>
  </si>
  <si>
    <t>출현 참조</t>
  </si>
  <si>
    <t>스테이지.enemyIds는 적.index 목록, bossId는 보스.index 하나를 참조한다.</t>
  </si>
  <si>
    <t>보스 2001 / 적 1001~1010</t>
  </si>
  <si>
    <t>공식</t>
  </si>
  <si>
    <t>적 최종 체력</t>
  </si>
  <si>
    <t>적.hpCoefficient × 스테이지.stageCoefficient. 숨은 기본 체력이나 웨이브 체력 배율을 추가로 곱하지 않는다.</t>
  </si>
  <si>
    <t>2 × 10.12 = 20.24</t>
  </si>
  <si>
    <t>보스 최종 체력</t>
  </si>
  <si>
    <t>보스.hpCoefficient × 스테이지.stageCoefficient. 같은 stageCoefficient를 사용한다.</t>
  </si>
  <si>
    <t>72 × 10.12 = 728.64</t>
  </si>
  <si>
    <t>가격</t>
  </si>
  <si>
    <t>현재 Lv에서 다음 레벨 가격 = ROUNDUP(price × (1 + Lv / priceDivisor)^priceExponent, 0).</t>
  </si>
  <si>
    <t>Lv 0이면 기본 price</t>
  </si>
  <si>
    <t>능력치 Add</t>
  </si>
  <si>
    <t>baseValue + perLevel × Lv. 체력·공격력·재생·치명타·골드 획득량에 사용한다.</t>
  </si>
  <si>
    <t>공격력 Lv 10 = 10 + 2 × 10 = 30</t>
  </si>
  <si>
    <t>능력치 Multiply</t>
  </si>
  <si>
    <t>baseValue × (1 + perLevel × Lv). 현재 공격 속도에 사용한다.</t>
  </si>
  <si>
    <t>공격 속도 Lv 10 = 0.8 × (1 + 0.01 × 10) = 0.88</t>
  </si>
  <si>
    <t>비율 단위</t>
  </si>
  <si>
    <t>비율은 소수로 적는다. attackMultiplier 1은 100%, CritChance 0.0001은 0.01%, CritDamage 1.5는 150%.</t>
  </si>
  <si>
    <t>표시 문자열 대신 숫자로 입력</t>
  </si>
  <si>
    <t>초기값</t>
  </si>
  <si>
    <t>출처</t>
  </si>
  <si>
    <t>현재 방치형 IdleProgress.cs와 Formation.cs의 수치 및 IdleBattle의 실제 리소스 목록을 기준으로 채웠다.</t>
  </si>
  <si>
    <t>구 스킬 트리/판 플레이 엑셀은 Legacy 보관</t>
  </si>
  <si>
    <t>공격력 기대 레벨 10×(s-1), 보유 배율 1+0.012s, 치명타 기대값을 합친 기존 ExpectedHit(s)를 1~1000에 저장했다.</t>
  </si>
  <si>
    <t>계수는 편집 입력값이며 자동 재생성되지 않는다</t>
  </si>
  <si>
    <t>새 체력 모델의 차이</t>
  </si>
  <si>
    <t>초기 적 계수 2와 보스 계수 72는 1스테이지 기준이다. 구 코드의 웨이브당 적 체력 +8%와 스테이지별 보스 기대 공격 속도 보정은 새 두 계수 공식에 포함하지 않는다.</t>
  </si>
  <si>
    <t>실제 게임 적용 전에 진행 속도 재측정 필요</t>
  </si>
  <si>
    <t>보상과 공격력</t>
  </si>
  <si>
    <t>스테이지의 골드·균사석·적 공격력은 기존 공식을 계산해 숫자로 저장했다. 계수나 강화 가격을 바꿔도 이 값은 자동으로 바뀌지 않는다.</t>
  </si>
  <si>
    <t>전투력/재화 밸런스는 함께 검토</t>
  </si>
  <si>
    <t>수정</t>
  </si>
  <si>
    <t>정의 추가</t>
  </si>
  <si>
    <t>해당 시트 마지막 데이터 행 아래에 행 전체를 추가한다. 양의 index와 고유 key를 넣고 필요한 참조 시트에도 행을 만든다.</t>
  </si>
  <si>
    <t>새 리소스를 먼저 등록하면 연결하기 쉽다</t>
  </si>
  <si>
    <t>스테이지 추가</t>
  </si>
  <si>
    <t>초기 범위는 1~1000이다. 이후 번호는 연속으로 직접 추가하고 새 index/key와 출현·보상 값을 채운다. 이 파일에는 무한 생성 규칙이 없다.</t>
  </si>
  <si>
    <t>다음 stage=1001 / index=6001</t>
  </si>
  <si>
    <t>미리보기 수식 범위</t>
  </si>
  <si>
    <t>새 적/보스를 추가해 미리보기에 쓰려면 # 열 VLOOKUP의 조회 범위를 확장한다. 새 스테이지의 # 열은 위 행 수식을 복사한다.</t>
  </si>
  <si>
    <t>계산 칸 #은 게임용 데이터에서 제외</t>
  </si>
  <si>
    <t>리소스 파일</t>
  </si>
  <si>
    <t>그림을 Resources 아래에 추가하고 type=Sprite, 확장자 없는 path를 적는다. ID를 바꾸기보다 기존 행의 경로를 수정하면 참조를 유지할 수 있다.</t>
  </si>
  <si>
    <t>Legacy</t>
  </si>
  <si>
    <t>기존 5개 엑셀은 Tables/Legacy, 기존 bytes는 Resources/Tables/Legacy로 보관한다. 자동 통합 표 임포터는 Legacy 폴더를 재귀 탐색하지 않는다.</t>
  </si>
  <si>
    <t>기존 스킬트리는 Legacy bytes를 계속 읽음</t>
  </si>
  <si>
    <t>검증</t>
  </si>
  <si>
    <t>저장 후 임포트</t>
  </si>
  <si>
    <t>Excel에서 다시 계산 후 저장하고 Unity로 돌아오면 자동 검사한다. 수동 실행은 MoreMush/Data/Reimport Tables 메뉴를 사용한다.</t>
  </si>
  <si>
    <t>성공 시 GameBalance: 1055행 OK</t>
  </si>
  <si>
    <t>검사 내용</t>
  </si>
  <si>
    <t>필수 시트/컬럼/자료형, ID·key 중복, 숫자 범위, 강화 종류/해금 순환, 스테이지 연속 번호, 외래키, Sprite 실재 여부를 검사한다.</t>
  </si>
  <si>
    <t>info도 반드시 존재해야 한다</t>
  </si>
  <si>
    <t>잘못된 값</t>
  </si>
  <si>
    <t>오류가 있으면 Console에 시트·행·컬럼을 적고 bytes 갱신을 중단한다. 기존 정상 복사본은 유지한다.</t>
  </si>
  <si>
    <t>오류 수정 후 다시 저장/임포트</t>
  </si>
  <si>
    <t>복사본</t>
  </si>
  <si>
    <t>통합 표의 정상 저장본은 Resources/Tables/GameBalance.bytes로 복사한다. bytes를 직접 고치지 않는다.</t>
  </si>
  <si>
    <t>원본 xlsx와 bytes는 동일한 파일 내용</t>
  </si>
  <si>
    <t>수식 저장</t>
  </si>
  <si>
    <t>Unity는 수식을 실행하지 않고 Excel이 저장한 계산 결과를 읽는다. 읽기 대상 숫자 칼럼에 수식을 쓸 때는 Excel에서 재계산 후 저장한다.</t>
  </si>
  <si>
    <t>수식은 # 미리보기 열 위주로 사용</t>
  </si>
  <si>
    <t>시트</t>
  </si>
  <si>
    <t>적</t>
  </si>
  <si>
    <t>그림 10종, 체력 계수, 리소스 참조를 관리한다.</t>
  </si>
  <si>
    <t>10행</t>
  </si>
  <si>
    <t>보스</t>
  </si>
  <si>
    <t>보스 이름·체력 계수·리소스를 관리한다.</t>
  </si>
  <si>
    <t>꼬마</t>
  </si>
  <si>
    <t>이름·등급·공격 배율·초기 보유·기본 편성·리소스를 관리한다.</t>
  </si>
  <si>
    <t>9행</t>
  </si>
  <si>
    <t>업그레이드</t>
  </si>
  <si>
    <t>강화 종류·능력치·레벨당 변동폭·가격 곡선·해금·아이콘을 관리한다.</t>
  </si>
  <si>
    <t>7행</t>
  </si>
  <si>
    <t>스테이지</t>
  </si>
  <si>
    <t>공통 체력 계수·출현 적/보스·웨이브·시간·적 수·공격력·보상을 관리한다.</t>
  </si>
  <si>
    <t>1000행</t>
  </si>
  <si>
    <t>리소스</t>
  </si>
  <si>
    <t>실제로 존재하는 Resources 경로를 ID로 묶는다. 같은 경로는 중복 등록하지 않는다.</t>
  </si>
  <si>
    <t>27행</t>
  </si>
  <si>
    <t>시트 안에서 겹치지 않는 양의 정수. 스테이지.enemyIds에서 참조한다.</t>
  </si>
  <si>
    <t>int · 1001</t>
  </si>
  <si>
    <t>코드에서 사용할 영문 키. 기존 행의 ID와 키는 유지한다.</t>
  </si>
  <si>
    <t>string · mushroom_ed0</t>
  </si>
  <si>
    <t>적 최종 체력 = 이 값 × 스테이지.stageCoefficient. 초기값 2는 기존 1웨이브 기준이다.</t>
  </si>
  <si>
    <t>double · 2</t>
  </si>
  <si>
    <t>리소스.index 참조. 적 그림 Sprite 한 개를 지정한다.</t>
  </si>
  <si>
    <t>int · 7001</t>
  </si>
  <si>
    <t>스테이지.bossId에서 참조하는 양의 정수 ID.</t>
  </si>
  <si>
    <t>int · 2001</t>
  </si>
  <si>
    <t>보스 행의 고유 영문 키.</t>
  </si>
  <si>
    <t>string · beak_boss</t>
  </si>
  <si>
    <t>향후 화면 표시용 이름. 현재 화면에는 아직 연결하지 않았다. 현 이름은 임시다.</t>
  </si>
  <si>
    <t>string · 부리 버섯</t>
  </si>
  <si>
    <t>보스 최종 체력 = 이 값 × 스테이지.stageCoefficient. 초기값 72 = 5명 × 공격 속도 0.8 × 18초.</t>
  </si>
  <si>
    <t>double · 72</t>
  </si>
  <si>
    <t>리소스.index 참조. 현재 Main에서 사용하는 보스 그림 2종이다.</t>
  </si>
  <si>
    <t>int · 7011</t>
  </si>
  <si>
    <t>테이블의 꼬마 행 ID. key와 별개이며 시트 내에서 고유하다.</t>
  </si>
  <si>
    <t>int · 3001</t>
  </si>
  <si>
    <t>기존 Formation 저장 키와 같은 ID. 예: leaf. 변경 시 기존 세이브 이관이 필요하다.</t>
  </si>
  <si>
    <t>string · leaf</t>
  </si>
  <si>
    <t>편성 창에 사용할 이름. 현재 Formation.cs의 이름을 옮겼다.</t>
  </si>
  <si>
    <t>string · 새싹 꼬마</t>
  </si>
  <si>
    <t>0 일반, 1 고급, 2 희귀, 3 영웅, 4 전설.</t>
  </si>
  <si>
    <t>int · 0</t>
  </si>
  <si>
    <t>수확기 피해 = 최종 공격력 × 이 배율. 0.8은 80%이며 80을 쓰지 않는다.</t>
  </si>
  <si>
    <t>double · 0.8</t>
  </si>
  <si>
    <t>새 저장 데이터의 시작 장수. 기존 기본 편성 5명은 1, 나머지는 0.</t>
  </si>
  <si>
    <t>int · 1</t>
  </si>
  <si>
    <t>0~4는 편성 칸 1~5. -1은 미편성. 같은 기본 칸을 두 행에 배정하지 않는다.</t>
  </si>
  <si>
    <t>리소스.index 참조. 부리 버섯은 보스와 같은 Sprite ID를 공유한다.</t>
  </si>
  <si>
    <t>int · 7013</t>
  </si>
  <si>
    <t>강화 행 고유 ID.</t>
  </si>
  <si>
    <t>int · 4001</t>
  </si>
  <si>
    <t>강화 행의 영문 키.</t>
  </si>
  <si>
    <t>string · upgrade_Attack</t>
  </si>
  <si>
    <t>Attack, Hp, HpRegen, Speed, CritChance, CritDamage, GoldBonus 중 하나. 종류별 한 행.</t>
  </si>
  <si>
    <t>IdleStat · Attack</t>
  </si>
  <si>
    <t>강화 목록에 사용할 이름.</t>
  </si>
  <si>
    <t>string · 공격력</t>
  </si>
  <si>
    <t>Lv 0의 값. 치명타 확률/피해/골드 배율은 1=100% 단위로 적는다.</t>
  </si>
  <si>
    <t>double · 10</t>
  </si>
  <si>
    <t>Add: 매 레벨 더할 양. Multiply: 기본값에 곱할 증가율. 0.01=1%.</t>
  </si>
  <si>
    <t>Add: baseValue + perLevel × Lv. Multiply: baseValue × (1 + perLevel × Lv).</t>
  </si>
  <si>
    <t>string · Add</t>
  </si>
  <si>
    <t>현재 Lv 0에서 Lv 1로 올리는 기본 골드 가격. 다음 가격은 priceExponent와 priceDivisor로 계산한다.</t>
  </si>
  <si>
    <t>long · 10</t>
  </si>
  <si>
    <t>현재 Lv에서 다음 레벨 가격 = 올림(price × (1 + Lv / priceDivisor)^priceExponent).</t>
  </si>
  <si>
    <t>double · 2.5</t>
  </si>
  <si>
    <t>가격 곡선에서 레벨을 나누는 수. 초기값은 기존 코드와 같은 10이며 0보다 커야 한다.</t>
  </si>
  <si>
    <t>강화 상한. 0부터 이 레벨까지 능력치를 계산한다.</t>
  </si>
  <si>
    <t>int · 100000</t>
  </si>
  <si>
    <t>현재 강화는 Gold만 사용한다.</t>
  </si>
  <si>
    <t>Currency · Gold</t>
  </si>
  <si>
    <t>unlockLevel 이상이 필요한 다른 강화. unlockLevel=0이면 이 칸은 무시한다.</t>
  </si>
  <si>
    <t>0이면 처음부터 해금. 양수면 unlockStat의 해당 레벨 달성 후 해금.</t>
  </si>
  <si>
    <t>리소스.index 참조. 기존 강화 아이콘을 등록했다.</t>
  </si>
  <si>
    <t>int · 7021</t>
  </si>
  <si>
    <t>행 ID. stage 번호와 구분한다. 첫 행은 index=5001, stage=1.</t>
  </si>
  <si>
    <t>int · 5001</t>
  </si>
  <si>
    <t>스테이지 고유 영문 키.</t>
  </si>
  <si>
    <t>string · stage_0001</t>
  </si>
  <si>
    <t>플레이어가 보는 번호. 1부터 빠짐없이 이어지게 추가한다.</t>
  </si>
  <si>
    <t>같은 스테이지의 적과 보스가 함께 곱하는 체력 계수. 초기값은 기존 ExpectedHit(s)의 스냅샷이다.</t>
  </si>
  <si>
    <t>double · 10.12</t>
  </si>
  <si>
    <t>적.index를 쉼표로 구분한다. 이 목록 안에서 무작위로 적을 선택하는 설정이며 중복/빈 목록은 금지다.</t>
  </si>
  <si>
    <t>int[] · 1001,1002,1003,1004,1005,1006,1007,1008,1009,1010</t>
  </si>
  <si>
    <t>보스.index 참조. 기존 화면처럼 두 보스 그림을 스테이지마다 번갈아 배정했다.</t>
  </si>
  <si>
    <t>이 수만큼 일반 웨이브를 마친 뒤 보스 한 마리를 배치하는 설정이다. 초기값 5.</t>
  </si>
  <si>
    <t>int · 5</t>
  </si>
  <si>
    <t>보스를 잡을 수 있는 시간. 초기값 30초.</t>
  </si>
  <si>
    <t>double · 30</t>
  </si>
  <si>
    <t>웨이브당 적 수 계산의 시작값. 초기값 5.</t>
  </si>
  <si>
    <t>적 수 = min(enemyCountMax, enemyCountBase + 이 값 × (wave-1) + enemyCountPerStage × (stage-1)).</t>
  </si>
  <si>
    <t>int · 2</t>
  </si>
  <si>
    <t>스테이지가 하나 오를 때 웨이브당 추가되는 적 수. 초기값 1.</t>
  </si>
  <si>
    <t>웨이브당 적 수의 상한. 초기값 15. 시작 적 수 이상이어야 한다.</t>
  </si>
  <si>
    <t>int · 15</t>
  </si>
  <si>
    <t>플레이어 골드 획득 배율 적용 전 기본 골드. 기존 BaseEnemyGold(s)를 옮겼다.</t>
  </si>
  <si>
    <t>long · 26</t>
  </si>
  <si>
    <t>플레이어 골드 획득 배율 적용 전 기본 골드. 초기값은 적 처치 골드의 20배.</t>
  </si>
  <si>
    <t>long · 520</t>
  </si>
  <si>
    <t>보스 처치 시 균사석. 기존 5 + floor(stage/10)를 옮겼다.</t>
  </si>
  <si>
    <t>long · 5</t>
  </si>
  <si>
    <t>일반 적 한 마리의 초당 피해. 기존 생존 곡선에서 계산한 값을 직접 편집할 수 있게 저장했다.</t>
  </si>
  <si>
    <t>double · 1.007</t>
  </si>
  <si>
    <t>보스 한 마리의 초당 피해. 기존 생존 곡선의 스냅샷이다.</t>
  </si>
  <si>
    <t>double · 4.5315</t>
  </si>
  <si>
    <t>다른 시트의 resourceId가 참조하는 양의 정수 ID. 같은 그림은 같은 ID를 공유한다.</t>
  </si>
  <si>
    <t>리소스 행의 고유 영문 키.</t>
  </si>
  <si>
    <t>string · enemy_ed0</t>
  </si>
  <si>
    <t>Sprite 또는 Prefab. 현재 그림 참조는 모두 Sprite이며 Prefab은 이후 확장용이다.</t>
  </si>
  <si>
    <t>string · Sprite</t>
  </si>
  <si>
    <t>Resources 폴더 아래 경로를 확장자 없이 적는다. Assets/나 Resources/를 앞에 붙이지 않는다.</t>
  </si>
  <si>
    <t>string · Art/Dream/Characters/Critters/Mushrooms/ed0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</si>
</sst>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#"/>
  </numFmts>
  <fonts count="8">
    <font>
      <sz val="11"/>
      <name val="Carlito"/>
    </font>
    <font>
      <sz val="10"/>
      <color rgb="FF202B24"/>
      <name val="Arial"/>
      <family val="2"/>
    </font>
    <font>
      <b/>
      <sz val="10"/>
      <color rgb="FFFFFFFF"/>
      <name val="Arial"/>
      <family val="2"/>
    </font>
    <font>
      <i/>
      <sz val="10"/>
      <color rgb="FF69756C"/>
      <name val="Arial"/>
      <family val="2"/>
    </font>
    <font>
      <sz val="10"/>
      <color rgb="FF354F6B"/>
      <name val="Arial"/>
      <family val="2"/>
    </font>
    <font>
      <b/>
      <sz val="14"/>
      <color rgb="FF294B35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294B35"/>
      </patternFill>
    </fill>
    <fill>
      <patternFill patternType="solid">
        <fgColor rgb="FFEEF1ED"/>
      </patternFill>
    </fill>
    <fill>
      <patternFill patternType="solid">
        <fgColor rgb="FF506A54"/>
      </patternFill>
    </fill>
    <fill>
      <patternFill patternType="solid">
        <fgColor rgb="FFEDF2F7"/>
      </patternFill>
    </fill>
    <fill>
      <patternFill patternType="solid">
        <fgColor rgb="FFF3F5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3" fillId="3" borderId="0" xfId="1" applyFont="1" applyFill="1" applyAlignment="1">
      <alignment vertical="center"/>
    </xf>
    <xf numFmtId="0" fontId="2" fillId="4" borderId="0" xfId="1" applyFont="1" applyFill="1" applyAlignment="1">
      <alignment vertical="center"/>
    </xf>
    <xf numFmtId="3" fontId="1" fillId="0" borderId="0" xfId="1" applyNumberFormat="1" applyFont="1" applyAlignment="1">
      <alignment horizontal="right" vertical="center"/>
    </xf>
    <xf numFmtId="176" fontId="1" fillId="0" borderId="0" xfId="1" applyNumberFormat="1" applyFont="1" applyAlignment="1">
      <alignment horizontal="right" vertical="center"/>
    </xf>
    <xf numFmtId="3" fontId="4" fillId="5" borderId="0" xfId="1" applyNumberFormat="1" applyFont="1" applyFill="1" applyAlignment="1">
      <alignment horizontal="right" vertical="center"/>
    </xf>
    <xf numFmtId="176" fontId="4" fillId="5" borderId="0" xfId="1" applyNumberFormat="1" applyFont="1" applyFill="1" applyAlignment="1">
      <alignment horizontal="right" vertical="center"/>
    </xf>
    <xf numFmtId="0" fontId="5" fillId="0" borderId="0" xfId="1" applyFont="1"/>
    <xf numFmtId="0" fontId="2" fillId="2" borderId="0" xfId="1" applyFont="1" applyFill="1"/>
    <xf numFmtId="0" fontId="1" fillId="0" borderId="0" xfId="1" applyFont="1" applyAlignment="1">
      <alignment vertical="center" wrapText="1"/>
    </xf>
    <xf numFmtId="0" fontId="1" fillId="6" borderId="0" xfId="1" applyFont="1" applyFill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emyRows" displayName="EnemyRows" ref="A3:D13" totalsRowShown="0">
  <autoFilter ref="A3:D13" xr:uid="{00000000-0009-0000-0100-000001000000}"/>
  <tableColumns count="4">
    <tableColumn id="1" xr3:uid="{00000000-0010-0000-0000-000001000000}" name="적 ID"/>
    <tableColumn id="2" xr3:uid="{00000000-0010-0000-0000-000002000000}" name="적 식별자"/>
    <tableColumn id="3" xr3:uid="{00000000-0010-0000-0000-000003000000}" name="체력 계수"/>
    <tableColumn id="4" xr3:uid="{00000000-0010-0000-0000-000004000000}" name="사용 리소스 I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ssRows" displayName="BossRows" ref="A3:E5" totalsRowShown="0">
  <autoFilter ref="A3:E5" xr:uid="{00000000-0009-0000-0100-000002000000}"/>
  <tableColumns count="5">
    <tableColumn id="1" xr3:uid="{00000000-0010-0000-0100-000001000000}" name="보스 ID"/>
    <tableColumn id="2" xr3:uid="{00000000-0010-0000-0100-000002000000}" name="보스 식별자"/>
    <tableColumn id="3" xr3:uid="{00000000-0010-0000-0100-000003000000}" name="보스 이름"/>
    <tableColumn id="4" xr3:uid="{00000000-0010-0000-0100-000004000000}" name="체력 계수"/>
    <tableColumn id="5" xr3:uid="{00000000-0010-0000-0100-000005000000}" name="사용 리소스 ID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aracterRows" displayName="CharacterRows" ref="A3:H12" totalsRowShown="0">
  <autoFilter ref="A3:H12" xr:uid="{00000000-0009-0000-0100-000003000000}"/>
  <tableColumns count="8">
    <tableColumn id="1" xr3:uid="{00000000-0010-0000-0200-000001000000}" name="꼬마 ID"/>
    <tableColumn id="2" xr3:uid="{00000000-0010-0000-0200-000002000000}" name="꼬마 식별자"/>
    <tableColumn id="3" xr3:uid="{00000000-0010-0000-0200-000003000000}" name="꼬마 이름"/>
    <tableColumn id="4" xr3:uid="{00000000-0010-0000-0200-000004000000}" name="등급"/>
    <tableColumn id="5" xr3:uid="{00000000-0010-0000-0200-000005000000}" name="공격 배율"/>
    <tableColumn id="6" xr3:uid="{00000000-0010-0000-0200-000006000000}" name="초기 보유 수"/>
    <tableColumn id="7" xr3:uid="{00000000-0010-0000-0200-000007000000}" name="기본 편성 칸"/>
    <tableColumn id="8" xr3:uid="{00000000-0010-0000-0200-000008000000}" name="사용 리소스 ID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pgradeRows" displayName="UpgradeRows" ref="A3:Q10" totalsRowShown="0">
  <autoFilter ref="A3:Q10" xr:uid="{00000000-0009-0000-0100-000004000000}"/>
  <tableColumns count="17">
    <tableColumn id="1" xr3:uid="{00000000-0010-0000-0300-000001000000}" name="강화 ID"/>
    <tableColumn id="2" xr3:uid="{00000000-0010-0000-0300-000002000000}" name="강화 식별자"/>
    <tableColumn id="3" xr3:uid="{00000000-0010-0000-0300-000003000000}" name="업그레이드 종류"/>
    <tableColumn id="4" xr3:uid="{00000000-0010-0000-0300-000004000000}" name="표시 이름"/>
    <tableColumn id="5" xr3:uid="{00000000-0010-0000-0300-000005000000}" name="기본 능력치"/>
    <tableColumn id="6" xr3:uid="{00000000-0010-0000-0300-000006000000}" name="레벨당 변동폭"/>
    <tableColumn id="7" xr3:uid="{00000000-0010-0000-0300-000007000000}" name="변동 방식"/>
    <tableColumn id="8" xr3:uid="{00000000-0010-0000-0300-000008000000}" name="업그레이드 가격"/>
    <tableColumn id="9" xr3:uid="{00000000-0010-0000-0300-000009000000}" name="가격 지수"/>
    <tableColumn id="10" xr3:uid="{00000000-0010-0000-0300-00000A000000}" name="가격 레벨 단위"/>
    <tableColumn id="11" xr3:uid="{00000000-0010-0000-0300-00000B000000}" name="최대 레벨"/>
    <tableColumn id="12" xr3:uid="{00000000-0010-0000-0300-00000C000000}" name="사용 재화"/>
    <tableColumn id="13" xr3:uid="{00000000-0010-0000-0300-00000D000000}" name="해금 기준 종류"/>
    <tableColumn id="14" xr3:uid="{00000000-0010-0000-0300-00000E000000}" name="해금 기준 레벨"/>
    <tableColumn id="15" xr3:uid="{00000000-0010-0000-0300-00000F000000}" name="사용 아이콘 ID"/>
    <tableColumn id="16" xr3:uid="{00000000-0010-0000-0300-000010000000}" name="Lv 10 다음 가격"/>
    <tableColumn id="17" xr3:uid="{00000000-0010-0000-0300-000011000000}" name="Lv 10 능력치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geRows" displayName="StageRows" ref="A3:S1003" totalsRowShown="0">
  <autoFilter ref="A3:S1003" xr:uid="{00000000-0009-0000-0100-000005000000}"/>
  <tableColumns count="19">
    <tableColumn id="1" xr3:uid="{00000000-0010-0000-0400-000001000000}" name="스테이지 ID"/>
    <tableColumn id="2" xr3:uid="{00000000-0010-0000-0400-000002000000}" name="스테이지 식별자"/>
    <tableColumn id="3" xr3:uid="{00000000-0010-0000-0400-000003000000}" name="스테이지 번호"/>
    <tableColumn id="4" xr3:uid="{00000000-0010-0000-0400-000004000000}" name="스테이지 계수"/>
    <tableColumn id="5" xr3:uid="{00000000-0010-0000-0400-000005000000}" name="등장 적 ID 목록"/>
    <tableColumn id="6" xr3:uid="{00000000-0010-0000-0400-000006000000}" name="등장 보스 ID"/>
    <tableColumn id="7" xr3:uid="{00000000-0010-0000-0400-000007000000}" name="일반 웨이브 수"/>
    <tableColumn id="8" xr3:uid="{00000000-0010-0000-0400-000008000000}" name="보스 제한 시간(초)"/>
    <tableColumn id="9" xr3:uid="{00000000-0010-0000-0400-000009000000}" name="시작 적 수"/>
    <tableColumn id="10" xr3:uid="{00000000-0010-0000-0400-00000A000000}" name="웨이브당 적 증가"/>
    <tableColumn id="11" xr3:uid="{00000000-0010-0000-0400-00000B000000}" name="스테이지당 적 증가"/>
    <tableColumn id="12" xr3:uid="{00000000-0010-0000-0400-00000C000000}" name="최대 적 수"/>
    <tableColumn id="13" xr3:uid="{00000000-0010-0000-0400-00000D000000}" name="적 처치 골드"/>
    <tableColumn id="14" xr3:uid="{00000000-0010-0000-0400-00000E000000}" name="보스 처치 골드"/>
    <tableColumn id="15" xr3:uid="{00000000-0010-0000-0400-00000F000000}" name="보스 균사석"/>
    <tableColumn id="16" xr3:uid="{00000000-0010-0000-0400-000010000000}" name="일반 적 공격/초"/>
    <tableColumn id="17" xr3:uid="{00000000-0010-0000-0400-000011000000}" name="보스 공격/초"/>
    <tableColumn id="18" xr3:uid="{00000000-0010-0000-0400-000012000000}" name="적 1001 체력 예시"/>
    <tableColumn id="19" xr3:uid="{00000000-0010-0000-0400-000013000000}" name="보스 체력 예시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ourceRows" displayName="ResourceRows" ref="A3:D30" totalsRowShown="0">
  <autoFilter ref="A3:D30" xr:uid="{00000000-0009-0000-0100-000006000000}"/>
  <tableColumns count="4">
    <tableColumn id="1" xr3:uid="{00000000-0010-0000-0500-000001000000}" name="리소스 ID"/>
    <tableColumn id="2" xr3:uid="{00000000-0010-0000-0500-000002000000}" name="리소스 식별자"/>
    <tableColumn id="3" xr3:uid="{00000000-0010-0000-0500-000003000000}" name="리소스 종류"/>
    <tableColumn id="4" xr3:uid="{00000000-0010-0000-0500-000004000000}" name="Resources 상대 경로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7917B"/>
  </sheetPr>
  <dimension ref="A1:D92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1" width="18" customWidth="1"/>
    <col min="2" max="2" width="27" customWidth="1"/>
    <col min="3" max="3" width="94" customWidth="1"/>
    <col min="4" max="4" width="55" customWidth="1"/>
  </cols>
  <sheetData>
    <row r="1" spans="1:4" ht="29.1" customHeight="1">
      <c r="A1" s="10" t="s">
        <v>1213</v>
      </c>
      <c r="B1" s="10"/>
      <c r="C1" s="10"/>
      <c r="D1" s="10" t="s">
        <v>1214</v>
      </c>
    </row>
    <row r="2" spans="1:4">
      <c r="A2" s="1"/>
      <c r="B2" s="1"/>
      <c r="C2" s="1"/>
      <c r="D2" s="1"/>
    </row>
    <row r="3" spans="1:4" ht="27.95" customHeight="1">
      <c r="A3" s="11" t="s">
        <v>1215</v>
      </c>
      <c r="B3" s="11" t="s">
        <v>1216</v>
      </c>
      <c r="C3" s="11" t="s">
        <v>1217</v>
      </c>
      <c r="D3" s="11" t="s">
        <v>1218</v>
      </c>
    </row>
    <row r="4" spans="1:4" ht="42" customHeight="1">
      <c r="A4" s="12" t="s">
        <v>1219</v>
      </c>
      <c r="B4" s="12" t="s">
        <v>1220</v>
      </c>
      <c r="C4" s="12" t="s">
        <v>1221</v>
      </c>
      <c r="D4" s="12" t="s">
        <v>1222</v>
      </c>
    </row>
    <row r="5" spans="1:4" ht="42" customHeight="1">
      <c r="A5" s="13" t="s">
        <v>1219</v>
      </c>
      <c r="B5" s="13" t="s">
        <v>1223</v>
      </c>
      <c r="C5" s="13" t="s">
        <v>1224</v>
      </c>
      <c r="D5" s="13" t="s">
        <v>1225</v>
      </c>
    </row>
    <row r="6" spans="1:4" ht="42" customHeight="1">
      <c r="A6" s="12" t="s">
        <v>1219</v>
      </c>
      <c r="B6" s="12" t="s">
        <v>24</v>
      </c>
      <c r="C6" s="12" t="s">
        <v>1226</v>
      </c>
      <c r="D6" s="12" t="s">
        <v>1227</v>
      </c>
    </row>
    <row r="7" spans="1:4" ht="42" customHeight="1">
      <c r="A7" s="13" t="s">
        <v>1228</v>
      </c>
      <c r="B7" s="13" t="s">
        <v>1229</v>
      </c>
      <c r="C7" s="13" t="s">
        <v>1230</v>
      </c>
      <c r="D7" s="13" t="s">
        <v>2</v>
      </c>
    </row>
    <row r="8" spans="1:4" ht="42" customHeight="1">
      <c r="A8" s="12" t="s">
        <v>1228</v>
      </c>
      <c r="B8" s="12" t="s">
        <v>1231</v>
      </c>
      <c r="C8" s="12" t="s">
        <v>1232</v>
      </c>
      <c r="D8" s="12" t="s">
        <v>1233</v>
      </c>
    </row>
    <row r="9" spans="1:4" ht="42" customHeight="1">
      <c r="A9" s="13" t="s">
        <v>1228</v>
      </c>
      <c r="B9" s="13" t="s">
        <v>1234</v>
      </c>
      <c r="C9" s="13" t="s">
        <v>1235</v>
      </c>
      <c r="D9" s="13" t="s">
        <v>1236</v>
      </c>
    </row>
    <row r="10" spans="1:4" ht="42" customHeight="1">
      <c r="A10" s="12" t="s">
        <v>1228</v>
      </c>
      <c r="B10" s="12" t="s">
        <v>1237</v>
      </c>
      <c r="C10" s="12" t="s">
        <v>1238</v>
      </c>
      <c r="D10" s="12" t="s">
        <v>1239</v>
      </c>
    </row>
    <row r="11" spans="1:4" ht="42" customHeight="1">
      <c r="A11" s="13" t="s">
        <v>1228</v>
      </c>
      <c r="B11" s="13" t="s">
        <v>1240</v>
      </c>
      <c r="C11" s="13" t="s">
        <v>1241</v>
      </c>
      <c r="D11" s="13" t="s">
        <v>1242</v>
      </c>
    </row>
    <row r="12" spans="1:4" ht="42" customHeight="1">
      <c r="A12" s="12" t="s">
        <v>1243</v>
      </c>
      <c r="B12" s="12" t="s">
        <v>1244</v>
      </c>
      <c r="C12" s="12" t="s">
        <v>1245</v>
      </c>
      <c r="D12" s="12" t="s">
        <v>1246</v>
      </c>
    </row>
    <row r="13" spans="1:4" ht="42" customHeight="1">
      <c r="A13" s="13" t="s">
        <v>1243</v>
      </c>
      <c r="B13" s="13" t="s">
        <v>1247</v>
      </c>
      <c r="C13" s="13" t="s">
        <v>1248</v>
      </c>
      <c r="D13" s="13" t="s">
        <v>1249</v>
      </c>
    </row>
    <row r="14" spans="1:4" ht="42" customHeight="1">
      <c r="A14" s="12" t="s">
        <v>1250</v>
      </c>
      <c r="B14" s="12" t="s">
        <v>1251</v>
      </c>
      <c r="C14" s="12" t="s">
        <v>1252</v>
      </c>
      <c r="D14" s="12" t="s">
        <v>1253</v>
      </c>
    </row>
    <row r="15" spans="1:4" ht="42" customHeight="1">
      <c r="A15" s="13" t="s">
        <v>1250</v>
      </c>
      <c r="B15" s="13" t="s">
        <v>1254</v>
      </c>
      <c r="C15" s="13" t="s">
        <v>1255</v>
      </c>
      <c r="D15" s="13" t="s">
        <v>1256</v>
      </c>
    </row>
    <row r="16" spans="1:4" ht="42" customHeight="1">
      <c r="A16" s="12" t="s">
        <v>1250</v>
      </c>
      <c r="B16" s="12" t="s">
        <v>1257</v>
      </c>
      <c r="C16" s="12" t="s">
        <v>1258</v>
      </c>
      <c r="D16" s="12" t="s">
        <v>1259</v>
      </c>
    </row>
    <row r="17" spans="1:4" ht="42" customHeight="1">
      <c r="A17" s="13" t="s">
        <v>1250</v>
      </c>
      <c r="B17" s="13" t="s">
        <v>1260</v>
      </c>
      <c r="C17" s="13" t="s">
        <v>1261</v>
      </c>
      <c r="D17" s="13" t="s">
        <v>1262</v>
      </c>
    </row>
    <row r="18" spans="1:4" ht="42" customHeight="1">
      <c r="A18" s="12" t="s">
        <v>1250</v>
      </c>
      <c r="B18" s="12" t="s">
        <v>1263</v>
      </c>
      <c r="C18" s="12" t="s">
        <v>1264</v>
      </c>
      <c r="D18" s="12" t="s">
        <v>1265</v>
      </c>
    </row>
    <row r="19" spans="1:4" ht="42" customHeight="1">
      <c r="A19" s="13" t="s">
        <v>1250</v>
      </c>
      <c r="B19" s="13" t="s">
        <v>1266</v>
      </c>
      <c r="C19" s="13" t="s">
        <v>1267</v>
      </c>
      <c r="D19" s="13" t="s">
        <v>1268</v>
      </c>
    </row>
    <row r="20" spans="1:4" ht="42" customHeight="1">
      <c r="A20" s="12" t="s">
        <v>1269</v>
      </c>
      <c r="B20" s="12" t="s">
        <v>1270</v>
      </c>
      <c r="C20" s="12" t="s">
        <v>1271</v>
      </c>
      <c r="D20" s="12" t="s">
        <v>1272</v>
      </c>
    </row>
    <row r="21" spans="1:4" ht="42" customHeight="1">
      <c r="A21" s="13" t="s">
        <v>1269</v>
      </c>
      <c r="B21" s="13" t="s">
        <v>135</v>
      </c>
      <c r="C21" s="13" t="s">
        <v>1273</v>
      </c>
      <c r="D21" s="13" t="s">
        <v>1274</v>
      </c>
    </row>
    <row r="22" spans="1:4" ht="56.1" customHeight="1">
      <c r="A22" s="12" t="s">
        <v>1269</v>
      </c>
      <c r="B22" s="12" t="s">
        <v>1275</v>
      </c>
      <c r="C22" s="12" t="s">
        <v>1276</v>
      </c>
      <c r="D22" s="12" t="s">
        <v>1277</v>
      </c>
    </row>
    <row r="23" spans="1:4" ht="42" customHeight="1">
      <c r="A23" s="13" t="s">
        <v>1269</v>
      </c>
      <c r="B23" s="13" t="s">
        <v>1278</v>
      </c>
      <c r="C23" s="13" t="s">
        <v>1279</v>
      </c>
      <c r="D23" s="13" t="s">
        <v>1280</v>
      </c>
    </row>
    <row r="24" spans="1:4" ht="42" customHeight="1">
      <c r="A24" s="12" t="s">
        <v>1281</v>
      </c>
      <c r="B24" s="12" t="s">
        <v>1282</v>
      </c>
      <c r="C24" s="12" t="s">
        <v>1283</v>
      </c>
      <c r="D24" s="12" t="s">
        <v>1284</v>
      </c>
    </row>
    <row r="25" spans="1:4" ht="42" customHeight="1">
      <c r="A25" s="13" t="s">
        <v>1281</v>
      </c>
      <c r="B25" s="13" t="s">
        <v>1285</v>
      </c>
      <c r="C25" s="13" t="s">
        <v>1286</v>
      </c>
      <c r="D25" s="13" t="s">
        <v>1287</v>
      </c>
    </row>
    <row r="26" spans="1:4" ht="42" customHeight="1">
      <c r="A26" s="12" t="s">
        <v>1281</v>
      </c>
      <c r="B26" s="12" t="s">
        <v>1288</v>
      </c>
      <c r="C26" s="12" t="s">
        <v>1289</v>
      </c>
      <c r="D26" s="12" t="s">
        <v>1290</v>
      </c>
    </row>
    <row r="27" spans="1:4" ht="42" customHeight="1">
      <c r="A27" s="13" t="s">
        <v>1281</v>
      </c>
      <c r="B27" s="13" t="s">
        <v>1291</v>
      </c>
      <c r="C27" s="13" t="s">
        <v>1292</v>
      </c>
      <c r="D27" s="13" t="s">
        <v>1160</v>
      </c>
    </row>
    <row r="28" spans="1:4" ht="56.1" customHeight="1">
      <c r="A28" s="12" t="s">
        <v>1281</v>
      </c>
      <c r="B28" s="12" t="s">
        <v>1293</v>
      </c>
      <c r="C28" s="12" t="s">
        <v>1294</v>
      </c>
      <c r="D28" s="12" t="s">
        <v>1295</v>
      </c>
    </row>
    <row r="29" spans="1:4" ht="42" customHeight="1">
      <c r="A29" s="13" t="s">
        <v>1296</v>
      </c>
      <c r="B29" s="13" t="s">
        <v>1297</v>
      </c>
      <c r="C29" s="13" t="s">
        <v>1298</v>
      </c>
      <c r="D29" s="13" t="s">
        <v>1299</v>
      </c>
    </row>
    <row r="30" spans="1:4" ht="42" customHeight="1">
      <c r="A30" s="12" t="s">
        <v>1296</v>
      </c>
      <c r="B30" s="12" t="s">
        <v>1300</v>
      </c>
      <c r="C30" s="12" t="s">
        <v>1301</v>
      </c>
      <c r="D30" s="12" t="s">
        <v>1302</v>
      </c>
    </row>
    <row r="31" spans="1:4" ht="42" customHeight="1">
      <c r="A31" s="13" t="s">
        <v>1296</v>
      </c>
      <c r="B31" s="13" t="s">
        <v>1303</v>
      </c>
      <c r="C31" s="13" t="s">
        <v>1304</v>
      </c>
      <c r="D31" s="13" t="s">
        <v>1305</v>
      </c>
    </row>
    <row r="32" spans="1:4" ht="42" customHeight="1">
      <c r="A32" s="12" t="s">
        <v>1296</v>
      </c>
      <c r="B32" s="12" t="s">
        <v>1306</v>
      </c>
      <c r="C32" s="12" t="s">
        <v>1307</v>
      </c>
      <c r="D32" s="12" t="s">
        <v>1308</v>
      </c>
    </row>
    <row r="33" spans="1:4" ht="42" customHeight="1">
      <c r="A33" s="13" t="s">
        <v>1296</v>
      </c>
      <c r="B33" s="13" t="s">
        <v>1309</v>
      </c>
      <c r="C33" s="13" t="s">
        <v>1310</v>
      </c>
      <c r="D33" s="13" t="s">
        <v>1311</v>
      </c>
    </row>
    <row r="34" spans="1:4" ht="42" customHeight="1">
      <c r="A34" s="12" t="s">
        <v>1312</v>
      </c>
      <c r="B34" s="12" t="s">
        <v>1313</v>
      </c>
      <c r="C34" s="12" t="s">
        <v>1314</v>
      </c>
      <c r="D34" s="12" t="s">
        <v>1315</v>
      </c>
    </row>
    <row r="35" spans="1:4" ht="42" customHeight="1">
      <c r="A35" s="13" t="s">
        <v>1312</v>
      </c>
      <c r="B35" s="13" t="s">
        <v>1316</v>
      </c>
      <c r="C35" s="13" t="s">
        <v>1317</v>
      </c>
      <c r="D35" s="13" t="s">
        <v>1231</v>
      </c>
    </row>
    <row r="36" spans="1:4" ht="42" customHeight="1">
      <c r="A36" s="12" t="s">
        <v>1312</v>
      </c>
      <c r="B36" s="12" t="s">
        <v>1318</v>
      </c>
      <c r="C36" s="12" t="s">
        <v>1319</v>
      </c>
      <c r="D36" s="12" t="s">
        <v>1320</v>
      </c>
    </row>
    <row r="37" spans="1:4" ht="42" customHeight="1">
      <c r="A37" s="13" t="s">
        <v>1312</v>
      </c>
      <c r="B37" s="13" t="s">
        <v>1321</v>
      </c>
      <c r="C37" s="13" t="s">
        <v>1322</v>
      </c>
      <c r="D37" s="13" t="s">
        <v>1323</v>
      </c>
    </row>
    <row r="38" spans="1:4" ht="42" customHeight="1">
      <c r="A38" s="12" t="s">
        <v>1312</v>
      </c>
      <c r="B38" s="12" t="s">
        <v>1324</v>
      </c>
      <c r="C38" s="12" t="s">
        <v>1325</v>
      </c>
      <c r="D38" s="12" t="s">
        <v>1326</v>
      </c>
    </row>
    <row r="39" spans="1:4" ht="42" customHeight="1">
      <c r="A39" s="13" t="s">
        <v>1312</v>
      </c>
      <c r="B39" s="13" t="s">
        <v>1327</v>
      </c>
      <c r="C39" s="13" t="s">
        <v>1328</v>
      </c>
      <c r="D39" s="13" t="s">
        <v>1329</v>
      </c>
    </row>
    <row r="40" spans="1:4" ht="42" customHeight="1">
      <c r="A40" s="12" t="s">
        <v>1313</v>
      </c>
      <c r="B40" s="12" t="s">
        <v>0</v>
      </c>
      <c r="C40" s="12" t="s">
        <v>1330</v>
      </c>
      <c r="D40" s="12" t="s">
        <v>1331</v>
      </c>
    </row>
    <row r="41" spans="1:4" ht="42" customHeight="1">
      <c r="A41" s="13" t="s">
        <v>1313</v>
      </c>
      <c r="B41" s="13" t="s">
        <v>1</v>
      </c>
      <c r="C41" s="13" t="s">
        <v>1332</v>
      </c>
      <c r="D41" s="13" t="s">
        <v>1333</v>
      </c>
    </row>
    <row r="42" spans="1:4" ht="42" customHeight="1">
      <c r="A42" s="12" t="s">
        <v>1313</v>
      </c>
      <c r="B42" s="12" t="s">
        <v>2</v>
      </c>
      <c r="C42" s="12" t="s">
        <v>1334</v>
      </c>
      <c r="D42" s="12" t="s">
        <v>1335</v>
      </c>
    </row>
    <row r="43" spans="1:4" ht="42" customHeight="1">
      <c r="A43" s="13" t="s">
        <v>1313</v>
      </c>
      <c r="B43" s="13" t="s">
        <v>3</v>
      </c>
      <c r="C43" s="13" t="s">
        <v>1336</v>
      </c>
      <c r="D43" s="13" t="s">
        <v>1337</v>
      </c>
    </row>
    <row r="44" spans="1:4" ht="42" customHeight="1">
      <c r="A44" s="12" t="s">
        <v>1316</v>
      </c>
      <c r="B44" s="12" t="s">
        <v>0</v>
      </c>
      <c r="C44" s="12" t="s">
        <v>1338</v>
      </c>
      <c r="D44" s="12" t="s">
        <v>1339</v>
      </c>
    </row>
    <row r="45" spans="1:4" ht="42" customHeight="1">
      <c r="A45" s="13" t="s">
        <v>1316</v>
      </c>
      <c r="B45" s="13" t="s">
        <v>1</v>
      </c>
      <c r="C45" s="13" t="s">
        <v>1340</v>
      </c>
      <c r="D45" s="13" t="s">
        <v>1341</v>
      </c>
    </row>
    <row r="46" spans="1:4" ht="42" customHeight="1">
      <c r="A46" s="12" t="s">
        <v>1316</v>
      </c>
      <c r="B46" s="12" t="s">
        <v>21</v>
      </c>
      <c r="C46" s="12" t="s">
        <v>1342</v>
      </c>
      <c r="D46" s="12" t="s">
        <v>1343</v>
      </c>
    </row>
    <row r="47" spans="1:4" ht="42" customHeight="1">
      <c r="A47" s="13" t="s">
        <v>1316</v>
      </c>
      <c r="B47" s="13" t="s">
        <v>2</v>
      </c>
      <c r="C47" s="13" t="s">
        <v>1344</v>
      </c>
      <c r="D47" s="13" t="s">
        <v>1345</v>
      </c>
    </row>
    <row r="48" spans="1:4" ht="42" customHeight="1">
      <c r="A48" s="12" t="s">
        <v>1316</v>
      </c>
      <c r="B48" s="12" t="s">
        <v>3</v>
      </c>
      <c r="C48" s="12" t="s">
        <v>1346</v>
      </c>
      <c r="D48" s="12" t="s">
        <v>1347</v>
      </c>
    </row>
    <row r="49" spans="1:4" ht="42" customHeight="1">
      <c r="A49" s="13" t="s">
        <v>1318</v>
      </c>
      <c r="B49" s="13" t="s">
        <v>0</v>
      </c>
      <c r="C49" s="13" t="s">
        <v>1348</v>
      </c>
      <c r="D49" s="13" t="s">
        <v>1349</v>
      </c>
    </row>
    <row r="50" spans="1:4" ht="42" customHeight="1">
      <c r="A50" s="12" t="s">
        <v>1318</v>
      </c>
      <c r="B50" s="12" t="s">
        <v>1</v>
      </c>
      <c r="C50" s="12" t="s">
        <v>1350</v>
      </c>
      <c r="D50" s="12" t="s">
        <v>1351</v>
      </c>
    </row>
    <row r="51" spans="1:4" ht="42" customHeight="1">
      <c r="A51" s="13" t="s">
        <v>1318</v>
      </c>
      <c r="B51" s="13" t="s">
        <v>21</v>
      </c>
      <c r="C51" s="13" t="s">
        <v>1352</v>
      </c>
      <c r="D51" s="13" t="s">
        <v>1353</v>
      </c>
    </row>
    <row r="52" spans="1:4" ht="42" customHeight="1">
      <c r="A52" s="12" t="s">
        <v>1318</v>
      </c>
      <c r="B52" s="12" t="s">
        <v>29</v>
      </c>
      <c r="C52" s="12" t="s">
        <v>1354</v>
      </c>
      <c r="D52" s="12" t="s">
        <v>1355</v>
      </c>
    </row>
    <row r="53" spans="1:4" ht="42" customHeight="1">
      <c r="A53" s="13" t="s">
        <v>1318</v>
      </c>
      <c r="B53" s="13" t="s">
        <v>30</v>
      </c>
      <c r="C53" s="13" t="s">
        <v>1356</v>
      </c>
      <c r="D53" s="13" t="s">
        <v>1357</v>
      </c>
    </row>
    <row r="54" spans="1:4" ht="42" customHeight="1">
      <c r="A54" s="12" t="s">
        <v>1318</v>
      </c>
      <c r="B54" s="12" t="s">
        <v>31</v>
      </c>
      <c r="C54" s="12" t="s">
        <v>1358</v>
      </c>
      <c r="D54" s="12" t="s">
        <v>1359</v>
      </c>
    </row>
    <row r="55" spans="1:4" ht="42" customHeight="1">
      <c r="A55" s="13" t="s">
        <v>1318</v>
      </c>
      <c r="B55" s="13" t="s">
        <v>32</v>
      </c>
      <c r="C55" s="13" t="s">
        <v>1360</v>
      </c>
      <c r="D55" s="13" t="s">
        <v>1355</v>
      </c>
    </row>
    <row r="56" spans="1:4" ht="42" customHeight="1">
      <c r="A56" s="12" t="s">
        <v>1318</v>
      </c>
      <c r="B56" s="12" t="s">
        <v>3</v>
      </c>
      <c r="C56" s="12" t="s">
        <v>1361</v>
      </c>
      <c r="D56" s="12" t="s">
        <v>1362</v>
      </c>
    </row>
    <row r="57" spans="1:4" ht="42" customHeight="1">
      <c r="A57" s="13" t="s">
        <v>1321</v>
      </c>
      <c r="B57" s="13" t="s">
        <v>0</v>
      </c>
      <c r="C57" s="13" t="s">
        <v>1363</v>
      </c>
      <c r="D57" s="13" t="s">
        <v>1364</v>
      </c>
    </row>
    <row r="58" spans="1:4" ht="42" customHeight="1">
      <c r="A58" s="12" t="s">
        <v>1321</v>
      </c>
      <c r="B58" s="12" t="s">
        <v>1</v>
      </c>
      <c r="C58" s="12" t="s">
        <v>1365</v>
      </c>
      <c r="D58" s="12" t="s">
        <v>1366</v>
      </c>
    </row>
    <row r="59" spans="1:4" ht="42" customHeight="1">
      <c r="A59" s="13" t="s">
        <v>1321</v>
      </c>
      <c r="B59" s="13" t="s">
        <v>57</v>
      </c>
      <c r="C59" s="13" t="s">
        <v>1367</v>
      </c>
      <c r="D59" s="13" t="s">
        <v>1368</v>
      </c>
    </row>
    <row r="60" spans="1:4" ht="42" customHeight="1">
      <c r="A60" s="12" t="s">
        <v>1321</v>
      </c>
      <c r="B60" s="12" t="s">
        <v>21</v>
      </c>
      <c r="C60" s="12" t="s">
        <v>1369</v>
      </c>
      <c r="D60" s="12" t="s">
        <v>1370</v>
      </c>
    </row>
    <row r="61" spans="1:4" ht="42" customHeight="1">
      <c r="A61" s="13" t="s">
        <v>1321</v>
      </c>
      <c r="B61" s="13" t="s">
        <v>58</v>
      </c>
      <c r="C61" s="13" t="s">
        <v>1371</v>
      </c>
      <c r="D61" s="13" t="s">
        <v>1372</v>
      </c>
    </row>
    <row r="62" spans="1:4" ht="42" customHeight="1">
      <c r="A62" s="12" t="s">
        <v>1321</v>
      </c>
      <c r="B62" s="12" t="s">
        <v>59</v>
      </c>
      <c r="C62" s="12" t="s">
        <v>1373</v>
      </c>
      <c r="D62" s="12" t="s">
        <v>1335</v>
      </c>
    </row>
    <row r="63" spans="1:4" ht="42" customHeight="1">
      <c r="A63" s="13" t="s">
        <v>1321</v>
      </c>
      <c r="B63" s="13" t="s">
        <v>60</v>
      </c>
      <c r="C63" s="13" t="s">
        <v>1374</v>
      </c>
      <c r="D63" s="13" t="s">
        <v>1375</v>
      </c>
    </row>
    <row r="64" spans="1:4" ht="42" customHeight="1">
      <c r="A64" s="12" t="s">
        <v>1321</v>
      </c>
      <c r="B64" s="12" t="s">
        <v>61</v>
      </c>
      <c r="C64" s="12" t="s">
        <v>1376</v>
      </c>
      <c r="D64" s="12" t="s">
        <v>1377</v>
      </c>
    </row>
    <row r="65" spans="1:4" ht="42" customHeight="1">
      <c r="A65" s="13" t="s">
        <v>1321</v>
      </c>
      <c r="B65" s="13" t="s">
        <v>62</v>
      </c>
      <c r="C65" s="13" t="s">
        <v>1378</v>
      </c>
      <c r="D65" s="13" t="s">
        <v>1379</v>
      </c>
    </row>
    <row r="66" spans="1:4" ht="42" customHeight="1">
      <c r="A66" s="12" t="s">
        <v>1321</v>
      </c>
      <c r="B66" s="12" t="s">
        <v>63</v>
      </c>
      <c r="C66" s="12" t="s">
        <v>1380</v>
      </c>
      <c r="D66" s="12" t="s">
        <v>1372</v>
      </c>
    </row>
    <row r="67" spans="1:4" ht="42" customHeight="1">
      <c r="A67" s="13" t="s">
        <v>1321</v>
      </c>
      <c r="B67" s="13" t="s">
        <v>64</v>
      </c>
      <c r="C67" s="13" t="s">
        <v>1381</v>
      </c>
      <c r="D67" s="13" t="s">
        <v>1382</v>
      </c>
    </row>
    <row r="68" spans="1:4" ht="42" customHeight="1">
      <c r="A68" s="12" t="s">
        <v>1321</v>
      </c>
      <c r="B68" s="12" t="s">
        <v>65</v>
      </c>
      <c r="C68" s="12" t="s">
        <v>1383</v>
      </c>
      <c r="D68" s="12" t="s">
        <v>1384</v>
      </c>
    </row>
    <row r="69" spans="1:4" ht="42" customHeight="1">
      <c r="A69" s="13" t="s">
        <v>1321</v>
      </c>
      <c r="B69" s="13" t="s">
        <v>66</v>
      </c>
      <c r="C69" s="13" t="s">
        <v>1385</v>
      </c>
      <c r="D69" s="13" t="s">
        <v>1368</v>
      </c>
    </row>
    <row r="70" spans="1:4" ht="42" customHeight="1">
      <c r="A70" s="12" t="s">
        <v>1321</v>
      </c>
      <c r="B70" s="12" t="s">
        <v>67</v>
      </c>
      <c r="C70" s="12" t="s">
        <v>1386</v>
      </c>
      <c r="D70" s="12" t="s">
        <v>1355</v>
      </c>
    </row>
    <row r="71" spans="1:4" ht="42" customHeight="1">
      <c r="A71" s="13" t="s">
        <v>1321</v>
      </c>
      <c r="B71" s="13" t="s">
        <v>3</v>
      </c>
      <c r="C71" s="13" t="s">
        <v>1387</v>
      </c>
      <c r="D71" s="13" t="s">
        <v>1388</v>
      </c>
    </row>
    <row r="72" spans="1:4" ht="42" customHeight="1">
      <c r="A72" s="12" t="s">
        <v>1324</v>
      </c>
      <c r="B72" s="12" t="s">
        <v>0</v>
      </c>
      <c r="C72" s="12" t="s">
        <v>1389</v>
      </c>
      <c r="D72" s="12" t="s">
        <v>1390</v>
      </c>
    </row>
    <row r="73" spans="1:4" ht="42" customHeight="1">
      <c r="A73" s="13" t="s">
        <v>1324</v>
      </c>
      <c r="B73" s="13" t="s">
        <v>1</v>
      </c>
      <c r="C73" s="13" t="s">
        <v>1391</v>
      </c>
      <c r="D73" s="13" t="s">
        <v>1392</v>
      </c>
    </row>
    <row r="74" spans="1:4" ht="42" customHeight="1">
      <c r="A74" s="12" t="s">
        <v>1324</v>
      </c>
      <c r="B74" s="12" t="s">
        <v>114</v>
      </c>
      <c r="C74" s="12" t="s">
        <v>1393</v>
      </c>
      <c r="D74" s="12" t="s">
        <v>1359</v>
      </c>
    </row>
    <row r="75" spans="1:4" ht="42" customHeight="1">
      <c r="A75" s="13" t="s">
        <v>1324</v>
      </c>
      <c r="B75" s="13" t="s">
        <v>115</v>
      </c>
      <c r="C75" s="13" t="s">
        <v>1394</v>
      </c>
      <c r="D75" s="13" t="s">
        <v>1395</v>
      </c>
    </row>
    <row r="76" spans="1:4" ht="42" customHeight="1">
      <c r="A76" s="12" t="s">
        <v>1324</v>
      </c>
      <c r="B76" s="12" t="s">
        <v>116</v>
      </c>
      <c r="C76" s="12" t="s">
        <v>1396</v>
      </c>
      <c r="D76" s="12" t="s">
        <v>1397</v>
      </c>
    </row>
    <row r="77" spans="1:4" ht="42" customHeight="1">
      <c r="A77" s="13" t="s">
        <v>1324</v>
      </c>
      <c r="B77" s="13" t="s">
        <v>117</v>
      </c>
      <c r="C77" s="13" t="s">
        <v>1398</v>
      </c>
      <c r="D77" s="13" t="s">
        <v>1339</v>
      </c>
    </row>
    <row r="78" spans="1:4" ht="42" customHeight="1">
      <c r="A78" s="12" t="s">
        <v>1324</v>
      </c>
      <c r="B78" s="12" t="s">
        <v>118</v>
      </c>
      <c r="C78" s="12" t="s">
        <v>1399</v>
      </c>
      <c r="D78" s="12" t="s">
        <v>1400</v>
      </c>
    </row>
    <row r="79" spans="1:4" ht="42" customHeight="1">
      <c r="A79" s="13" t="s">
        <v>1324</v>
      </c>
      <c r="B79" s="13" t="s">
        <v>119</v>
      </c>
      <c r="C79" s="13" t="s">
        <v>1401</v>
      </c>
      <c r="D79" s="13" t="s">
        <v>1402</v>
      </c>
    </row>
    <row r="80" spans="1:4" ht="42" customHeight="1">
      <c r="A80" s="12" t="s">
        <v>1324</v>
      </c>
      <c r="B80" s="12" t="s">
        <v>120</v>
      </c>
      <c r="C80" s="12" t="s">
        <v>1403</v>
      </c>
      <c r="D80" s="12" t="s">
        <v>1400</v>
      </c>
    </row>
    <row r="81" spans="1:4" ht="42" customHeight="1">
      <c r="A81" s="13" t="s">
        <v>1324</v>
      </c>
      <c r="B81" s="13" t="s">
        <v>121</v>
      </c>
      <c r="C81" s="13" t="s">
        <v>1404</v>
      </c>
      <c r="D81" s="13" t="s">
        <v>1405</v>
      </c>
    </row>
    <row r="82" spans="1:4" ht="42" customHeight="1">
      <c r="A82" s="12" t="s">
        <v>1324</v>
      </c>
      <c r="B82" s="12" t="s">
        <v>122</v>
      </c>
      <c r="C82" s="12" t="s">
        <v>1406</v>
      </c>
      <c r="D82" s="12" t="s">
        <v>1359</v>
      </c>
    </row>
    <row r="83" spans="1:4" ht="42" customHeight="1">
      <c r="A83" s="13" t="s">
        <v>1324</v>
      </c>
      <c r="B83" s="13" t="s">
        <v>123</v>
      </c>
      <c r="C83" s="13" t="s">
        <v>1407</v>
      </c>
      <c r="D83" s="13" t="s">
        <v>1408</v>
      </c>
    </row>
    <row r="84" spans="1:4" ht="42" customHeight="1">
      <c r="A84" s="12" t="s">
        <v>1324</v>
      </c>
      <c r="B84" s="12" t="s">
        <v>124</v>
      </c>
      <c r="C84" s="12" t="s">
        <v>1409</v>
      </c>
      <c r="D84" s="12" t="s">
        <v>1410</v>
      </c>
    </row>
    <row r="85" spans="1:4" ht="42" customHeight="1">
      <c r="A85" s="13" t="s">
        <v>1324</v>
      </c>
      <c r="B85" s="13" t="s">
        <v>125</v>
      </c>
      <c r="C85" s="13" t="s">
        <v>1411</v>
      </c>
      <c r="D85" s="13" t="s">
        <v>1412</v>
      </c>
    </row>
    <row r="86" spans="1:4" ht="42" customHeight="1">
      <c r="A86" s="12" t="s">
        <v>1324</v>
      </c>
      <c r="B86" s="12" t="s">
        <v>126</v>
      </c>
      <c r="C86" s="12" t="s">
        <v>1413</v>
      </c>
      <c r="D86" s="12" t="s">
        <v>1414</v>
      </c>
    </row>
    <row r="87" spans="1:4" ht="42" customHeight="1">
      <c r="A87" s="13" t="s">
        <v>1324</v>
      </c>
      <c r="B87" s="13" t="s">
        <v>127</v>
      </c>
      <c r="C87" s="13" t="s">
        <v>1415</v>
      </c>
      <c r="D87" s="13" t="s">
        <v>1416</v>
      </c>
    </row>
    <row r="88" spans="1:4" ht="42" customHeight="1">
      <c r="A88" s="12" t="s">
        <v>1324</v>
      </c>
      <c r="B88" s="12" t="s">
        <v>128</v>
      </c>
      <c r="C88" s="12" t="s">
        <v>1417</v>
      </c>
      <c r="D88" s="12" t="s">
        <v>1418</v>
      </c>
    </row>
    <row r="89" spans="1:4" ht="42" customHeight="1">
      <c r="A89" s="13" t="s">
        <v>1327</v>
      </c>
      <c r="B89" s="13" t="s">
        <v>0</v>
      </c>
      <c r="C89" s="13" t="s">
        <v>1419</v>
      </c>
      <c r="D89" s="13" t="s">
        <v>1337</v>
      </c>
    </row>
    <row r="90" spans="1:4" ht="42" customHeight="1">
      <c r="A90" s="12" t="s">
        <v>1327</v>
      </c>
      <c r="B90" s="12" t="s">
        <v>1</v>
      </c>
      <c r="C90" s="12" t="s">
        <v>1420</v>
      </c>
      <c r="D90" s="12" t="s">
        <v>1421</v>
      </c>
    </row>
    <row r="91" spans="1:4" ht="42" customHeight="1">
      <c r="A91" s="13" t="s">
        <v>1327</v>
      </c>
      <c r="B91" s="13" t="s">
        <v>1152</v>
      </c>
      <c r="C91" s="13" t="s">
        <v>1422</v>
      </c>
      <c r="D91" s="13" t="s">
        <v>1423</v>
      </c>
    </row>
    <row r="92" spans="1:4" ht="42" customHeight="1">
      <c r="A92" s="12" t="s">
        <v>1327</v>
      </c>
      <c r="B92" s="12" t="s">
        <v>1153</v>
      </c>
      <c r="C92" s="12" t="s">
        <v>1424</v>
      </c>
      <c r="D92" s="12" t="s">
        <v>1425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6684D"/>
  </sheetPr>
  <dimension ref="A1:D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4.25"/>
  <cols>
    <col min="1" max="1" width="12" customWidth="1"/>
    <col min="2" max="2" width="24" customWidth="1"/>
    <col min="3" max="4" width="20" customWidth="1"/>
  </cols>
  <sheetData>
    <row r="1" spans="1:4" ht="29.1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21.95" customHeight="1">
      <c r="A2" s="4" t="s">
        <v>4</v>
      </c>
      <c r="B2" s="4" t="s">
        <v>5</v>
      </c>
      <c r="C2" s="4" t="s">
        <v>6</v>
      </c>
      <c r="D2" s="4" t="s">
        <v>4</v>
      </c>
    </row>
    <row r="3" spans="1:4" ht="32.1" customHeight="1">
      <c r="A3" s="5" t="s">
        <v>7</v>
      </c>
      <c r="B3" s="5" t="s">
        <v>8</v>
      </c>
      <c r="C3" s="5" t="s">
        <v>9</v>
      </c>
      <c r="D3" s="5" t="s">
        <v>10</v>
      </c>
    </row>
    <row r="4" spans="1:4" ht="21.95" customHeight="1">
      <c r="A4" s="6">
        <v>1001</v>
      </c>
      <c r="B4" s="2" t="s">
        <v>11</v>
      </c>
      <c r="C4" s="7">
        <v>2</v>
      </c>
      <c r="D4" s="6">
        <v>7001</v>
      </c>
    </row>
    <row r="5" spans="1:4" ht="21.95" customHeight="1">
      <c r="A5" s="6">
        <v>1002</v>
      </c>
      <c r="B5" s="2" t="s">
        <v>12</v>
      </c>
      <c r="C5" s="7">
        <v>2</v>
      </c>
      <c r="D5" s="6">
        <v>7002</v>
      </c>
    </row>
    <row r="6" spans="1:4" ht="21.95" customHeight="1">
      <c r="A6" s="6">
        <v>1003</v>
      </c>
      <c r="B6" s="2" t="s">
        <v>13</v>
      </c>
      <c r="C6" s="7">
        <v>2</v>
      </c>
      <c r="D6" s="6">
        <v>7003</v>
      </c>
    </row>
    <row r="7" spans="1:4" ht="21.95" customHeight="1">
      <c r="A7" s="6">
        <v>1004</v>
      </c>
      <c r="B7" s="2" t="s">
        <v>14</v>
      </c>
      <c r="C7" s="7">
        <v>2</v>
      </c>
      <c r="D7" s="6">
        <v>7004</v>
      </c>
    </row>
    <row r="8" spans="1:4" ht="21.95" customHeight="1">
      <c r="A8" s="6">
        <v>1005</v>
      </c>
      <c r="B8" s="2" t="s">
        <v>15</v>
      </c>
      <c r="C8" s="7">
        <v>2</v>
      </c>
      <c r="D8" s="6">
        <v>7005</v>
      </c>
    </row>
    <row r="9" spans="1:4" ht="21.95" customHeight="1">
      <c r="A9" s="6">
        <v>1006</v>
      </c>
      <c r="B9" s="2" t="s">
        <v>16</v>
      </c>
      <c r="C9" s="7">
        <v>2</v>
      </c>
      <c r="D9" s="6">
        <v>7006</v>
      </c>
    </row>
    <row r="10" spans="1:4" ht="21.95" customHeight="1">
      <c r="A10" s="6">
        <v>1007</v>
      </c>
      <c r="B10" s="2" t="s">
        <v>17</v>
      </c>
      <c r="C10" s="7">
        <v>2</v>
      </c>
      <c r="D10" s="6">
        <v>7007</v>
      </c>
    </row>
    <row r="11" spans="1:4" ht="21.95" customHeight="1">
      <c r="A11" s="6">
        <v>1008</v>
      </c>
      <c r="B11" s="2" t="s">
        <v>18</v>
      </c>
      <c r="C11" s="7">
        <v>2</v>
      </c>
      <c r="D11" s="6">
        <v>7008</v>
      </c>
    </row>
    <row r="12" spans="1:4" ht="21.95" customHeight="1">
      <c r="A12" s="6">
        <v>1009</v>
      </c>
      <c r="B12" s="2" t="s">
        <v>19</v>
      </c>
      <c r="C12" s="7">
        <v>2</v>
      </c>
      <c r="D12" s="6">
        <v>7009</v>
      </c>
    </row>
    <row r="13" spans="1:4" ht="21.95" customHeight="1">
      <c r="A13" s="6">
        <v>1010</v>
      </c>
      <c r="B13" s="2" t="s">
        <v>20</v>
      </c>
      <c r="C13" s="7">
        <v>2</v>
      </c>
      <c r="D13" s="6">
        <v>7010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6684D"/>
  </sheetPr>
  <dimension ref="A1:E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4.25"/>
  <cols>
    <col min="1" max="1" width="12" customWidth="1"/>
    <col min="2" max="3" width="24" customWidth="1"/>
    <col min="4" max="5" width="20" customWidth="1"/>
  </cols>
  <sheetData>
    <row r="1" spans="1:5" ht="29.1" customHeight="1">
      <c r="A1" s="3" t="s">
        <v>0</v>
      </c>
      <c r="B1" s="3" t="s">
        <v>1</v>
      </c>
      <c r="C1" s="3" t="s">
        <v>21</v>
      </c>
      <c r="D1" s="3" t="s">
        <v>2</v>
      </c>
      <c r="E1" s="3" t="s">
        <v>3</v>
      </c>
    </row>
    <row r="2" spans="1:5" ht="21.95" customHeight="1">
      <c r="A2" s="4" t="s">
        <v>4</v>
      </c>
      <c r="B2" s="4" t="s">
        <v>5</v>
      </c>
      <c r="C2" s="4" t="s">
        <v>5</v>
      </c>
      <c r="D2" s="4" t="s">
        <v>6</v>
      </c>
      <c r="E2" s="4" t="s">
        <v>4</v>
      </c>
    </row>
    <row r="3" spans="1:5" ht="32.1" customHeight="1">
      <c r="A3" s="5" t="s">
        <v>22</v>
      </c>
      <c r="B3" s="5" t="s">
        <v>23</v>
      </c>
      <c r="C3" s="5" t="s">
        <v>24</v>
      </c>
      <c r="D3" s="5" t="s">
        <v>9</v>
      </c>
      <c r="E3" s="5" t="s">
        <v>10</v>
      </c>
    </row>
    <row r="4" spans="1:5" ht="21.95" customHeight="1">
      <c r="A4" s="6">
        <v>2001</v>
      </c>
      <c r="B4" s="2" t="s">
        <v>25</v>
      </c>
      <c r="C4" s="2" t="s">
        <v>26</v>
      </c>
      <c r="D4" s="7">
        <v>72</v>
      </c>
      <c r="E4" s="6">
        <v>7011</v>
      </c>
    </row>
    <row r="5" spans="1:5" ht="21.95" customHeight="1">
      <c r="A5" s="6">
        <v>2002</v>
      </c>
      <c r="B5" s="2" t="s">
        <v>27</v>
      </c>
      <c r="C5" s="2" t="s">
        <v>28</v>
      </c>
      <c r="D5" s="7">
        <v>72</v>
      </c>
      <c r="E5" s="6">
        <v>7012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6684D"/>
  </sheetPr>
  <dimension ref="A1:H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4.25"/>
  <cols>
    <col min="1" max="1" width="12" customWidth="1"/>
    <col min="2" max="2" width="20" customWidth="1"/>
    <col min="3" max="3" width="22" customWidth="1"/>
    <col min="4" max="4" width="12" customWidth="1"/>
    <col min="5" max="7" width="18" customWidth="1"/>
    <col min="8" max="8" width="20" customWidth="1"/>
  </cols>
  <sheetData>
    <row r="1" spans="1:8" ht="29.1" customHeight="1">
      <c r="A1" s="3" t="s">
        <v>0</v>
      </c>
      <c r="B1" s="3" t="s">
        <v>1</v>
      </c>
      <c r="C1" s="3" t="s">
        <v>21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</v>
      </c>
    </row>
    <row r="2" spans="1:8" ht="21.95" customHeight="1">
      <c r="A2" s="4" t="s">
        <v>4</v>
      </c>
      <c r="B2" s="4" t="s">
        <v>5</v>
      </c>
      <c r="C2" s="4" t="s">
        <v>5</v>
      </c>
      <c r="D2" s="4" t="s">
        <v>4</v>
      </c>
      <c r="E2" s="4" t="s">
        <v>6</v>
      </c>
      <c r="F2" s="4" t="s">
        <v>4</v>
      </c>
      <c r="G2" s="4" t="s">
        <v>4</v>
      </c>
      <c r="H2" s="4" t="s">
        <v>4</v>
      </c>
    </row>
    <row r="3" spans="1:8" ht="32.1" customHeight="1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10</v>
      </c>
    </row>
    <row r="4" spans="1:8" ht="21.95" customHeight="1">
      <c r="A4" s="6">
        <v>3001</v>
      </c>
      <c r="B4" s="2" t="s">
        <v>40</v>
      </c>
      <c r="C4" s="2" t="s">
        <v>41</v>
      </c>
      <c r="D4" s="6">
        <v>0</v>
      </c>
      <c r="E4" s="7">
        <v>0.8</v>
      </c>
      <c r="F4" s="6">
        <v>1</v>
      </c>
      <c r="G4" s="6">
        <v>0</v>
      </c>
      <c r="H4" s="6">
        <v>7013</v>
      </c>
    </row>
    <row r="5" spans="1:8" ht="21.95" customHeight="1">
      <c r="A5" s="6">
        <v>3002</v>
      </c>
      <c r="B5" s="2" t="s">
        <v>42</v>
      </c>
      <c r="C5" s="2" t="s">
        <v>43</v>
      </c>
      <c r="D5" s="6">
        <v>0</v>
      </c>
      <c r="E5" s="7">
        <v>0.8</v>
      </c>
      <c r="F5" s="6">
        <v>1</v>
      </c>
      <c r="G5" s="6">
        <v>1</v>
      </c>
      <c r="H5" s="6">
        <v>7014</v>
      </c>
    </row>
    <row r="6" spans="1:8" ht="21.95" customHeight="1">
      <c r="A6" s="6">
        <v>3003</v>
      </c>
      <c r="B6" s="2" t="s">
        <v>44</v>
      </c>
      <c r="C6" s="2" t="s">
        <v>45</v>
      </c>
      <c r="D6" s="6">
        <v>1</v>
      </c>
      <c r="E6" s="7">
        <v>0.9</v>
      </c>
      <c r="F6" s="6">
        <v>0</v>
      </c>
      <c r="G6" s="6">
        <v>-1</v>
      </c>
      <c r="H6" s="6">
        <v>7015</v>
      </c>
    </row>
    <row r="7" spans="1:8" ht="21.95" customHeight="1">
      <c r="A7" s="6">
        <v>3004</v>
      </c>
      <c r="B7" s="2" t="s">
        <v>46</v>
      </c>
      <c r="C7" s="2" t="s">
        <v>47</v>
      </c>
      <c r="D7" s="6">
        <v>2</v>
      </c>
      <c r="E7" s="7">
        <v>1</v>
      </c>
      <c r="F7" s="6">
        <v>1</v>
      </c>
      <c r="G7" s="6">
        <v>2</v>
      </c>
      <c r="H7" s="6">
        <v>7016</v>
      </c>
    </row>
    <row r="8" spans="1:8" ht="21.95" customHeight="1">
      <c r="A8" s="6">
        <v>3005</v>
      </c>
      <c r="B8" s="2" t="s">
        <v>48</v>
      </c>
      <c r="C8" s="2" t="s">
        <v>49</v>
      </c>
      <c r="D8" s="6">
        <v>1</v>
      </c>
      <c r="E8" s="7">
        <v>0.9</v>
      </c>
      <c r="F8" s="6">
        <v>1</v>
      </c>
      <c r="G8" s="6">
        <v>3</v>
      </c>
      <c r="H8" s="6">
        <v>7017</v>
      </c>
    </row>
    <row r="9" spans="1:8" ht="21.95" customHeight="1">
      <c r="A9" s="6">
        <v>3006</v>
      </c>
      <c r="B9" s="2" t="s">
        <v>50</v>
      </c>
      <c r="C9" s="2" t="s">
        <v>51</v>
      </c>
      <c r="D9" s="6">
        <v>3</v>
      </c>
      <c r="E9" s="7">
        <v>1.1000000000000001</v>
      </c>
      <c r="F9" s="6">
        <v>0</v>
      </c>
      <c r="G9" s="6">
        <v>-1</v>
      </c>
      <c r="H9" s="6">
        <v>7018</v>
      </c>
    </row>
    <row r="10" spans="1:8" ht="21.95" customHeight="1">
      <c r="A10" s="6">
        <v>3007</v>
      </c>
      <c r="B10" s="2" t="s">
        <v>52</v>
      </c>
      <c r="C10" s="2" t="s">
        <v>53</v>
      </c>
      <c r="D10" s="6">
        <v>1</v>
      </c>
      <c r="E10" s="7">
        <v>0.9</v>
      </c>
      <c r="F10" s="6">
        <v>1</v>
      </c>
      <c r="G10" s="6">
        <v>4</v>
      </c>
      <c r="H10" s="6">
        <v>7019</v>
      </c>
    </row>
    <row r="11" spans="1:8" ht="21.95" customHeight="1">
      <c r="A11" s="6">
        <v>3008</v>
      </c>
      <c r="B11" s="2" t="s">
        <v>54</v>
      </c>
      <c r="C11" s="2" t="s">
        <v>55</v>
      </c>
      <c r="D11" s="6">
        <v>2</v>
      </c>
      <c r="E11" s="7">
        <v>1</v>
      </c>
      <c r="F11" s="6">
        <v>0</v>
      </c>
      <c r="G11" s="6">
        <v>-1</v>
      </c>
      <c r="H11" s="6">
        <v>7020</v>
      </c>
    </row>
    <row r="12" spans="1:8" ht="21.95" customHeight="1">
      <c r="A12" s="6">
        <v>3009</v>
      </c>
      <c r="B12" s="2" t="s">
        <v>56</v>
      </c>
      <c r="C12" s="2" t="s">
        <v>26</v>
      </c>
      <c r="D12" s="6">
        <v>4</v>
      </c>
      <c r="E12" s="7">
        <v>1.2</v>
      </c>
      <c r="F12" s="6">
        <v>0</v>
      </c>
      <c r="G12" s="6">
        <v>-1</v>
      </c>
      <c r="H12" s="6">
        <v>7011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6684D"/>
  </sheetPr>
  <dimension ref="A1:Q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4.25"/>
  <cols>
    <col min="1" max="1" width="12" customWidth="1"/>
    <col min="2" max="2" width="28" customWidth="1"/>
    <col min="3" max="3" width="22" customWidth="1"/>
    <col min="4" max="4" width="20" customWidth="1"/>
    <col min="5" max="5" width="18" customWidth="1"/>
    <col min="6" max="6" width="20" customWidth="1"/>
    <col min="7" max="7" width="18" customWidth="1"/>
    <col min="8" max="8" width="22" customWidth="1"/>
    <col min="9" max="9" width="18" customWidth="1"/>
    <col min="10" max="10" width="20" customWidth="1"/>
    <col min="11" max="11" width="18" customWidth="1"/>
    <col min="12" max="12" width="16" customWidth="1"/>
    <col min="13" max="14" width="22" customWidth="1"/>
    <col min="15" max="15" width="20" customWidth="1"/>
    <col min="16" max="16" width="22" customWidth="1"/>
    <col min="17" max="17" width="20" customWidth="1"/>
  </cols>
  <sheetData>
    <row r="1" spans="1:17" ht="29.1" customHeight="1">
      <c r="A1" s="3" t="s">
        <v>0</v>
      </c>
      <c r="B1" s="3" t="s">
        <v>1</v>
      </c>
      <c r="C1" s="3" t="s">
        <v>57</v>
      </c>
      <c r="D1" s="3" t="s">
        <v>21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3</v>
      </c>
      <c r="P1" s="3" t="s">
        <v>68</v>
      </c>
      <c r="Q1" s="3" t="s">
        <v>69</v>
      </c>
    </row>
    <row r="2" spans="1:17" ht="21.95" customHeight="1">
      <c r="A2" s="4" t="s">
        <v>4</v>
      </c>
      <c r="B2" s="4" t="s">
        <v>5</v>
      </c>
      <c r="C2" s="4" t="s">
        <v>70</v>
      </c>
      <c r="D2" s="4" t="s">
        <v>5</v>
      </c>
      <c r="E2" s="4" t="s">
        <v>6</v>
      </c>
      <c r="F2" s="4" t="s">
        <v>6</v>
      </c>
      <c r="G2" s="4" t="s">
        <v>5</v>
      </c>
      <c r="H2" s="4" t="s">
        <v>71</v>
      </c>
      <c r="I2" s="4" t="s">
        <v>6</v>
      </c>
      <c r="J2" s="4" t="s">
        <v>6</v>
      </c>
      <c r="K2" s="4" t="s">
        <v>4</v>
      </c>
      <c r="L2" s="4" t="s">
        <v>72</v>
      </c>
      <c r="M2" s="4" t="s">
        <v>70</v>
      </c>
      <c r="N2" s="4" t="s">
        <v>4</v>
      </c>
      <c r="O2" s="4" t="s">
        <v>4</v>
      </c>
      <c r="P2" s="4" t="s">
        <v>71</v>
      </c>
      <c r="Q2" s="4" t="s">
        <v>6</v>
      </c>
    </row>
    <row r="3" spans="1:17" ht="32.1" customHeight="1">
      <c r="A3" s="5" t="s">
        <v>73</v>
      </c>
      <c r="B3" s="5" t="s">
        <v>74</v>
      </c>
      <c r="C3" s="5" t="s">
        <v>75</v>
      </c>
      <c r="D3" s="5" t="s">
        <v>76</v>
      </c>
      <c r="E3" s="5" t="s">
        <v>77</v>
      </c>
      <c r="F3" s="5" t="s">
        <v>78</v>
      </c>
      <c r="G3" s="5" t="s">
        <v>79</v>
      </c>
      <c r="H3" s="5" t="s">
        <v>80</v>
      </c>
      <c r="I3" s="5" t="s">
        <v>81</v>
      </c>
      <c r="J3" s="5" t="s">
        <v>82</v>
      </c>
      <c r="K3" s="5" t="s">
        <v>83</v>
      </c>
      <c r="L3" s="5" t="s">
        <v>84</v>
      </c>
      <c r="M3" s="5" t="s">
        <v>85</v>
      </c>
      <c r="N3" s="5" t="s">
        <v>86</v>
      </c>
      <c r="O3" s="5" t="s">
        <v>87</v>
      </c>
      <c r="P3" s="5" t="s">
        <v>88</v>
      </c>
      <c r="Q3" s="5" t="s">
        <v>89</v>
      </c>
    </row>
    <row r="4" spans="1:17" ht="21.95" customHeight="1">
      <c r="A4" s="6">
        <v>4001</v>
      </c>
      <c r="B4" s="2" t="s">
        <v>90</v>
      </c>
      <c r="C4" s="2" t="s">
        <v>91</v>
      </c>
      <c r="D4" s="2" t="s">
        <v>92</v>
      </c>
      <c r="E4" s="7">
        <v>10</v>
      </c>
      <c r="F4" s="7">
        <v>2</v>
      </c>
      <c r="G4" s="2" t="s">
        <v>93</v>
      </c>
      <c r="H4" s="6">
        <v>10</v>
      </c>
      <c r="I4" s="7">
        <v>2.5</v>
      </c>
      <c r="J4" s="7">
        <v>10</v>
      </c>
      <c r="K4" s="6">
        <v>100000</v>
      </c>
      <c r="L4" s="2" t="s">
        <v>94</v>
      </c>
      <c r="M4" s="2" t="s">
        <v>91</v>
      </c>
      <c r="N4" s="6">
        <v>0</v>
      </c>
      <c r="O4" s="6">
        <v>7021</v>
      </c>
      <c r="P4" s="8">
        <f t="shared" ref="P4:P10" si="0">ROUNDUP(H4*(1+10/J4)^I4,0)</f>
        <v>57</v>
      </c>
      <c r="Q4" s="9">
        <f t="shared" ref="Q4:Q10" si="1">IF(G4="Multiply",E4*(1+F4*10),E4+F4*10)</f>
        <v>30</v>
      </c>
    </row>
    <row r="5" spans="1:17" ht="21.95" customHeight="1">
      <c r="A5" s="6">
        <v>4002</v>
      </c>
      <c r="B5" s="2" t="s">
        <v>95</v>
      </c>
      <c r="C5" s="2" t="s">
        <v>96</v>
      </c>
      <c r="D5" s="2" t="s">
        <v>97</v>
      </c>
      <c r="E5" s="7">
        <v>100</v>
      </c>
      <c r="F5" s="7">
        <v>20</v>
      </c>
      <c r="G5" s="2" t="s">
        <v>93</v>
      </c>
      <c r="H5" s="6">
        <v>10</v>
      </c>
      <c r="I5" s="7">
        <v>2.5</v>
      </c>
      <c r="J5" s="7">
        <v>10</v>
      </c>
      <c r="K5" s="6">
        <v>100000</v>
      </c>
      <c r="L5" s="2" t="s">
        <v>94</v>
      </c>
      <c r="M5" s="2" t="s">
        <v>91</v>
      </c>
      <c r="N5" s="6">
        <v>0</v>
      </c>
      <c r="O5" s="6">
        <v>7022</v>
      </c>
      <c r="P5" s="8">
        <f t="shared" si="0"/>
        <v>57</v>
      </c>
      <c r="Q5" s="9">
        <f t="shared" si="1"/>
        <v>300</v>
      </c>
    </row>
    <row r="6" spans="1:17" ht="21.95" customHeight="1">
      <c r="A6" s="6">
        <v>4003</v>
      </c>
      <c r="B6" s="2" t="s">
        <v>98</v>
      </c>
      <c r="C6" s="2" t="s">
        <v>99</v>
      </c>
      <c r="D6" s="2" t="s">
        <v>100</v>
      </c>
      <c r="E6" s="7">
        <v>2</v>
      </c>
      <c r="F6" s="7">
        <v>0.4</v>
      </c>
      <c r="G6" s="2" t="s">
        <v>93</v>
      </c>
      <c r="H6" s="6">
        <v>15</v>
      </c>
      <c r="I6" s="7">
        <v>2.5</v>
      </c>
      <c r="J6" s="7">
        <v>10</v>
      </c>
      <c r="K6" s="6">
        <v>100000</v>
      </c>
      <c r="L6" s="2" t="s">
        <v>94</v>
      </c>
      <c r="M6" s="2" t="s">
        <v>96</v>
      </c>
      <c r="N6" s="6">
        <v>20</v>
      </c>
      <c r="O6" s="6">
        <v>7023</v>
      </c>
      <c r="P6" s="8">
        <f t="shared" si="0"/>
        <v>85</v>
      </c>
      <c r="Q6" s="9">
        <f t="shared" si="1"/>
        <v>6</v>
      </c>
    </row>
    <row r="7" spans="1:17" ht="21.95" customHeight="1">
      <c r="A7" s="6">
        <v>4004</v>
      </c>
      <c r="B7" s="2" t="s">
        <v>101</v>
      </c>
      <c r="C7" s="2" t="s">
        <v>102</v>
      </c>
      <c r="D7" s="2" t="s">
        <v>103</v>
      </c>
      <c r="E7" s="7">
        <v>0.8</v>
      </c>
      <c r="F7" s="7">
        <v>0.01</v>
      </c>
      <c r="G7" s="2" t="s">
        <v>104</v>
      </c>
      <c r="H7" s="6">
        <v>300</v>
      </c>
      <c r="I7" s="7">
        <v>3.5</v>
      </c>
      <c r="J7" s="7">
        <v>10</v>
      </c>
      <c r="K7" s="6">
        <v>150</v>
      </c>
      <c r="L7" s="2" t="s">
        <v>94</v>
      </c>
      <c r="M7" s="2" t="s">
        <v>91</v>
      </c>
      <c r="N7" s="6">
        <v>30</v>
      </c>
      <c r="O7" s="6">
        <v>7024</v>
      </c>
      <c r="P7" s="8">
        <f t="shared" si="0"/>
        <v>3395</v>
      </c>
      <c r="Q7" s="9">
        <f t="shared" si="1"/>
        <v>0.88000000000000012</v>
      </c>
    </row>
    <row r="8" spans="1:17" ht="21.95" customHeight="1">
      <c r="A8" s="6">
        <v>4005</v>
      </c>
      <c r="B8" s="2" t="s">
        <v>105</v>
      </c>
      <c r="C8" s="2" t="s">
        <v>106</v>
      </c>
      <c r="D8" s="2" t="s">
        <v>107</v>
      </c>
      <c r="E8" s="7">
        <v>0</v>
      </c>
      <c r="F8" s="7">
        <v>1E-4</v>
      </c>
      <c r="G8" s="2" t="s">
        <v>93</v>
      </c>
      <c r="H8" s="6">
        <v>30</v>
      </c>
      <c r="I8" s="7">
        <v>2.5</v>
      </c>
      <c r="J8" s="7">
        <v>10</v>
      </c>
      <c r="K8" s="6">
        <v>10000</v>
      </c>
      <c r="L8" s="2" t="s">
        <v>94</v>
      </c>
      <c r="M8" s="2" t="s">
        <v>102</v>
      </c>
      <c r="N8" s="6">
        <v>10</v>
      </c>
      <c r="O8" s="6">
        <v>7025</v>
      </c>
      <c r="P8" s="8">
        <f t="shared" si="0"/>
        <v>170</v>
      </c>
      <c r="Q8" s="9">
        <f t="shared" si="1"/>
        <v>1E-3</v>
      </c>
    </row>
    <row r="9" spans="1:17" ht="21.95" customHeight="1">
      <c r="A9" s="6">
        <v>4006</v>
      </c>
      <c r="B9" s="2" t="s">
        <v>108</v>
      </c>
      <c r="C9" s="2" t="s">
        <v>109</v>
      </c>
      <c r="D9" s="2" t="s">
        <v>110</v>
      </c>
      <c r="E9" s="7">
        <v>1.5</v>
      </c>
      <c r="F9" s="7">
        <v>1E-3</v>
      </c>
      <c r="G9" s="2" t="s">
        <v>93</v>
      </c>
      <c r="H9" s="6">
        <v>30</v>
      </c>
      <c r="I9" s="7">
        <v>2.5</v>
      </c>
      <c r="J9" s="7">
        <v>10</v>
      </c>
      <c r="K9" s="6">
        <v>10000</v>
      </c>
      <c r="L9" s="2" t="s">
        <v>94</v>
      </c>
      <c r="M9" s="2" t="s">
        <v>106</v>
      </c>
      <c r="N9" s="6">
        <v>100</v>
      </c>
      <c r="O9" s="6">
        <v>7026</v>
      </c>
      <c r="P9" s="8">
        <f t="shared" si="0"/>
        <v>170</v>
      </c>
      <c r="Q9" s="9">
        <f t="shared" si="1"/>
        <v>1.51</v>
      </c>
    </row>
    <row r="10" spans="1:17" ht="21.95" customHeight="1">
      <c r="A10" s="6">
        <v>4007</v>
      </c>
      <c r="B10" s="2" t="s">
        <v>111</v>
      </c>
      <c r="C10" s="2" t="s">
        <v>112</v>
      </c>
      <c r="D10" s="2" t="s">
        <v>113</v>
      </c>
      <c r="E10" s="7">
        <v>1</v>
      </c>
      <c r="F10" s="7">
        <v>0.01</v>
      </c>
      <c r="G10" s="2" t="s">
        <v>93</v>
      </c>
      <c r="H10" s="6">
        <v>50</v>
      </c>
      <c r="I10" s="7">
        <v>2.7</v>
      </c>
      <c r="J10" s="7">
        <v>10</v>
      </c>
      <c r="K10" s="6">
        <v>2000</v>
      </c>
      <c r="L10" s="2" t="s">
        <v>94</v>
      </c>
      <c r="M10" s="2" t="s">
        <v>91</v>
      </c>
      <c r="N10" s="6">
        <v>50</v>
      </c>
      <c r="O10" s="6">
        <v>7027</v>
      </c>
      <c r="P10" s="8">
        <f t="shared" si="0"/>
        <v>325</v>
      </c>
      <c r="Q10" s="9">
        <f t="shared" si="1"/>
        <v>1.1000000000000001</v>
      </c>
    </row>
  </sheetData>
  <phoneticPr fontId="7" type="noConversion"/>
  <dataValidations count="3">
    <dataValidation type="list" sqref="C4:C10 M4:M10" xr:uid="{00000000-0002-0000-0300-000000000000}">
      <formula1>"Attack,Hp,HpRegen,Speed,CritChance,CritDamage,GoldBonus"</formula1>
    </dataValidation>
    <dataValidation type="list" sqref="G4:G10" xr:uid="{00000000-0002-0000-0300-000001000000}">
      <formula1>"Add,Multiply"</formula1>
    </dataValidation>
    <dataValidation type="list" sqref="L4:L10" xr:uid="{00000000-0002-0000-0300-000002000000}">
      <formula1>"Gold"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6684D"/>
  </sheetPr>
  <dimension ref="A1:S10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4.25"/>
  <cols>
    <col min="1" max="1" width="16" customWidth="1"/>
    <col min="2" max="2" width="24" customWidth="1"/>
    <col min="3" max="3" width="20" customWidth="1"/>
    <col min="4" max="4" width="24" customWidth="1"/>
    <col min="5" max="5" width="58" customWidth="1"/>
    <col min="6" max="6" width="20" customWidth="1"/>
    <col min="7" max="7" width="22" customWidth="1"/>
    <col min="8" max="8" width="24" customWidth="1"/>
    <col min="9" max="9" width="18" customWidth="1"/>
    <col min="10" max="10" width="24" customWidth="1"/>
    <col min="11" max="11" width="26" customWidth="1"/>
    <col min="12" max="12" width="18" customWidth="1"/>
    <col min="13" max="13" width="20" customWidth="1"/>
    <col min="14" max="14" width="22" customWidth="1"/>
    <col min="15" max="15" width="20" customWidth="1"/>
    <col min="16" max="16" width="24" customWidth="1"/>
    <col min="17" max="17" width="22" customWidth="1"/>
    <col min="18" max="19" width="24" customWidth="1"/>
  </cols>
  <sheetData>
    <row r="1" spans="1:19" ht="29.1" customHeight="1">
      <c r="A1" s="3" t="s">
        <v>0</v>
      </c>
      <c r="B1" s="3" t="s">
        <v>1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122</v>
      </c>
      <c r="L1" s="3" t="s">
        <v>123</v>
      </c>
      <c r="M1" s="3" t="s">
        <v>124</v>
      </c>
      <c r="N1" s="3" t="s">
        <v>125</v>
      </c>
      <c r="O1" s="3" t="s">
        <v>126</v>
      </c>
      <c r="P1" s="3" t="s">
        <v>127</v>
      </c>
      <c r="Q1" s="3" t="s">
        <v>128</v>
      </c>
      <c r="R1" s="3" t="s">
        <v>129</v>
      </c>
      <c r="S1" s="3" t="s">
        <v>130</v>
      </c>
    </row>
    <row r="2" spans="1:19" ht="21.95" customHeight="1">
      <c r="A2" s="4" t="s">
        <v>4</v>
      </c>
      <c r="B2" s="4" t="s">
        <v>5</v>
      </c>
      <c r="C2" s="4" t="s">
        <v>4</v>
      </c>
      <c r="D2" s="4" t="s">
        <v>6</v>
      </c>
      <c r="E2" s="4" t="s">
        <v>131</v>
      </c>
      <c r="F2" s="4" t="s">
        <v>4</v>
      </c>
      <c r="G2" s="4" t="s">
        <v>4</v>
      </c>
      <c r="H2" s="4" t="s">
        <v>6</v>
      </c>
      <c r="I2" s="4" t="s">
        <v>4</v>
      </c>
      <c r="J2" s="4" t="s">
        <v>4</v>
      </c>
      <c r="K2" s="4" t="s">
        <v>4</v>
      </c>
      <c r="L2" s="4" t="s">
        <v>4</v>
      </c>
      <c r="M2" s="4" t="s">
        <v>71</v>
      </c>
      <c r="N2" s="4" t="s">
        <v>71</v>
      </c>
      <c r="O2" s="4" t="s">
        <v>71</v>
      </c>
      <c r="P2" s="4" t="s">
        <v>6</v>
      </c>
      <c r="Q2" s="4" t="s">
        <v>6</v>
      </c>
      <c r="R2" s="4" t="s">
        <v>6</v>
      </c>
      <c r="S2" s="4" t="s">
        <v>6</v>
      </c>
    </row>
    <row r="3" spans="1:19" ht="32.1" customHeight="1">
      <c r="A3" s="5" t="s">
        <v>132</v>
      </c>
      <c r="B3" s="5" t="s">
        <v>133</v>
      </c>
      <c r="C3" s="5" t="s">
        <v>134</v>
      </c>
      <c r="D3" s="5" t="s">
        <v>135</v>
      </c>
      <c r="E3" s="5" t="s">
        <v>136</v>
      </c>
      <c r="F3" s="5" t="s">
        <v>137</v>
      </c>
      <c r="G3" s="5" t="s">
        <v>138</v>
      </c>
      <c r="H3" s="5" t="s">
        <v>139</v>
      </c>
      <c r="I3" s="5" t="s">
        <v>140</v>
      </c>
      <c r="J3" s="5" t="s">
        <v>141</v>
      </c>
      <c r="K3" s="5" t="s">
        <v>142</v>
      </c>
      <c r="L3" s="5" t="s">
        <v>143</v>
      </c>
      <c r="M3" s="5" t="s">
        <v>144</v>
      </c>
      <c r="N3" s="5" t="s">
        <v>145</v>
      </c>
      <c r="O3" s="5" t="s">
        <v>146</v>
      </c>
      <c r="P3" s="5" t="s">
        <v>147</v>
      </c>
      <c r="Q3" s="5" t="s">
        <v>148</v>
      </c>
      <c r="R3" s="5" t="s">
        <v>149</v>
      </c>
      <c r="S3" s="5" t="s">
        <v>150</v>
      </c>
    </row>
    <row r="4" spans="1:19" ht="21.95" customHeight="1">
      <c r="A4" s="6">
        <v>5001</v>
      </c>
      <c r="B4" s="2" t="s">
        <v>151</v>
      </c>
      <c r="C4" s="6">
        <v>1</v>
      </c>
      <c r="D4" s="7">
        <v>10.119999999999999</v>
      </c>
      <c r="E4" s="2" t="s">
        <v>152</v>
      </c>
      <c r="F4" s="6">
        <v>2001</v>
      </c>
      <c r="G4" s="6">
        <v>5</v>
      </c>
      <c r="H4" s="7">
        <v>30</v>
      </c>
      <c r="I4" s="6">
        <v>5</v>
      </c>
      <c r="J4" s="6">
        <v>2</v>
      </c>
      <c r="K4" s="6">
        <v>1</v>
      </c>
      <c r="L4" s="6">
        <v>15</v>
      </c>
      <c r="M4" s="6">
        <v>26</v>
      </c>
      <c r="N4" s="6">
        <v>520</v>
      </c>
      <c r="O4" s="6">
        <v>5</v>
      </c>
      <c r="P4" s="7">
        <v>1.0069999999999999</v>
      </c>
      <c r="Q4" s="7">
        <v>4.5315000000000003</v>
      </c>
      <c r="R4" s="9">
        <f>D4*VLOOKUP(1001,적!$A$4:$D$13,3,FALSE)</f>
        <v>20.239999999999998</v>
      </c>
      <c r="S4" s="9">
        <f>D4*VLOOKUP(F4,보스!$A$4:$E$5,4,FALSE)</f>
        <v>728.64</v>
      </c>
    </row>
    <row r="5" spans="1:19" ht="21.95" customHeight="1">
      <c r="A5" s="6">
        <v>5002</v>
      </c>
      <c r="B5" s="2" t="s">
        <v>153</v>
      </c>
      <c r="C5" s="6">
        <v>2</v>
      </c>
      <c r="D5" s="7">
        <v>30.729308159999999</v>
      </c>
      <c r="E5" s="2" t="s">
        <v>152</v>
      </c>
      <c r="F5" s="6">
        <v>2002</v>
      </c>
      <c r="G5" s="6">
        <v>5</v>
      </c>
      <c r="H5" s="7">
        <v>30</v>
      </c>
      <c r="I5" s="6">
        <v>5</v>
      </c>
      <c r="J5" s="6">
        <v>2</v>
      </c>
      <c r="K5" s="6">
        <v>1</v>
      </c>
      <c r="L5" s="6">
        <v>15</v>
      </c>
      <c r="M5" s="6">
        <v>69</v>
      </c>
      <c r="N5" s="6">
        <v>1380</v>
      </c>
      <c r="O5" s="6">
        <v>5</v>
      </c>
      <c r="P5" s="7">
        <v>2.7986399999999998</v>
      </c>
      <c r="Q5" s="7">
        <v>12.066599999999999</v>
      </c>
      <c r="R5" s="9">
        <f>D5*VLOOKUP(1001,적!$A$4:$D$13,3,FALSE)</f>
        <v>61.458616319999997</v>
      </c>
      <c r="S5" s="9">
        <f>D5*VLOOKUP(F5,보스!$A$4:$E$5,4,FALSE)</f>
        <v>2212.5101875199998</v>
      </c>
    </row>
    <row r="6" spans="1:19" ht="21.95" customHeight="1">
      <c r="A6" s="6">
        <v>5003</v>
      </c>
      <c r="B6" s="2" t="s">
        <v>154</v>
      </c>
      <c r="C6" s="6">
        <v>3</v>
      </c>
      <c r="D6" s="7">
        <v>51.831701600000002</v>
      </c>
      <c r="E6" s="2" t="s">
        <v>152</v>
      </c>
      <c r="F6" s="6">
        <v>2001</v>
      </c>
      <c r="G6" s="6">
        <v>5</v>
      </c>
      <c r="H6" s="7">
        <v>30</v>
      </c>
      <c r="I6" s="6">
        <v>5</v>
      </c>
      <c r="J6" s="6">
        <v>2</v>
      </c>
      <c r="K6" s="6">
        <v>1</v>
      </c>
      <c r="L6" s="6">
        <v>15</v>
      </c>
      <c r="M6" s="6">
        <v>117</v>
      </c>
      <c r="N6" s="6">
        <v>2340</v>
      </c>
      <c r="O6" s="6">
        <v>5</v>
      </c>
      <c r="P6" s="7">
        <v>4.6149199999999997</v>
      </c>
      <c r="Q6" s="7">
        <v>19.705300000000001</v>
      </c>
      <c r="R6" s="9">
        <f>D6*VLOOKUP(1001,적!$A$4:$D$13,3,FALSE)</f>
        <v>103.6634032</v>
      </c>
      <c r="S6" s="9">
        <f>D6*VLOOKUP(F6,보스!$A$4:$E$5,4,FALSE)</f>
        <v>3731.8825151999999</v>
      </c>
    </row>
    <row r="7" spans="1:19" ht="21.95" customHeight="1">
      <c r="A7" s="6">
        <v>5004</v>
      </c>
      <c r="B7" s="2" t="s">
        <v>155</v>
      </c>
      <c r="C7" s="6">
        <v>4</v>
      </c>
      <c r="D7" s="7">
        <v>73.428004720000004</v>
      </c>
      <c r="E7" s="2" t="s">
        <v>152</v>
      </c>
      <c r="F7" s="6">
        <v>2002</v>
      </c>
      <c r="G7" s="6">
        <v>5</v>
      </c>
      <c r="H7" s="7">
        <v>30</v>
      </c>
      <c r="I7" s="6">
        <v>5</v>
      </c>
      <c r="J7" s="6">
        <v>2</v>
      </c>
      <c r="K7" s="6">
        <v>1</v>
      </c>
      <c r="L7" s="6">
        <v>15</v>
      </c>
      <c r="M7" s="6">
        <v>205</v>
      </c>
      <c r="N7" s="6">
        <v>4100</v>
      </c>
      <c r="O7" s="6">
        <v>5</v>
      </c>
      <c r="P7" s="7">
        <v>6.4558400000000002</v>
      </c>
      <c r="Q7" s="7">
        <v>27.447600000000001</v>
      </c>
      <c r="R7" s="9">
        <f>D7*VLOOKUP(1001,적!$A$4:$D$13,3,FALSE)</f>
        <v>146.85600944000001</v>
      </c>
      <c r="S7" s="9">
        <f>D7*VLOOKUP(F7,보스!$A$4:$E$5,4,FALSE)</f>
        <v>5286.8163398400002</v>
      </c>
    </row>
    <row r="8" spans="1:19" ht="21.95" customHeight="1">
      <c r="A8" s="6">
        <v>5005</v>
      </c>
      <c r="B8" s="2" t="s">
        <v>156</v>
      </c>
      <c r="C8" s="6">
        <v>5</v>
      </c>
      <c r="D8" s="7">
        <v>95.519059200000001</v>
      </c>
      <c r="E8" s="2" t="s">
        <v>152</v>
      </c>
      <c r="F8" s="6">
        <v>2001</v>
      </c>
      <c r="G8" s="6">
        <v>5</v>
      </c>
      <c r="H8" s="7">
        <v>30</v>
      </c>
      <c r="I8" s="6">
        <v>5</v>
      </c>
      <c r="J8" s="6">
        <v>2</v>
      </c>
      <c r="K8" s="6">
        <v>1</v>
      </c>
      <c r="L8" s="6">
        <v>15</v>
      </c>
      <c r="M8" s="6">
        <v>284</v>
      </c>
      <c r="N8" s="6">
        <v>5680</v>
      </c>
      <c r="O8" s="6">
        <v>5</v>
      </c>
      <c r="P8" s="7">
        <v>8.3214000000000006</v>
      </c>
      <c r="Q8" s="7">
        <v>35.293500000000002</v>
      </c>
      <c r="R8" s="9">
        <f>D8*VLOOKUP(1001,적!$A$4:$D$13,3,FALSE)</f>
        <v>191.0381184</v>
      </c>
      <c r="S8" s="9">
        <f>D8*VLOOKUP(F8,보스!$A$4:$E$5,4,FALSE)</f>
        <v>6877.3722624000002</v>
      </c>
    </row>
    <row r="9" spans="1:19" ht="21.95" customHeight="1">
      <c r="A9" s="6">
        <v>5006</v>
      </c>
      <c r="B9" s="2" t="s">
        <v>157</v>
      </c>
      <c r="C9" s="6">
        <v>6</v>
      </c>
      <c r="D9" s="7">
        <v>118.105724</v>
      </c>
      <c r="E9" s="2" t="s">
        <v>152</v>
      </c>
      <c r="F9" s="6">
        <v>2002</v>
      </c>
      <c r="G9" s="6">
        <v>5</v>
      </c>
      <c r="H9" s="7">
        <v>30</v>
      </c>
      <c r="I9" s="6">
        <v>5</v>
      </c>
      <c r="J9" s="6">
        <v>2</v>
      </c>
      <c r="K9" s="6">
        <v>1</v>
      </c>
      <c r="L9" s="6">
        <v>15</v>
      </c>
      <c r="M9" s="6">
        <v>419</v>
      </c>
      <c r="N9" s="6">
        <v>8380</v>
      </c>
      <c r="O9" s="6">
        <v>5</v>
      </c>
      <c r="P9" s="7">
        <v>10.211600000000001</v>
      </c>
      <c r="Q9" s="7">
        <v>43.243000000000002</v>
      </c>
      <c r="R9" s="9">
        <f>D9*VLOOKUP(1001,적!$A$4:$D$13,3,FALSE)</f>
        <v>236.21144799999999</v>
      </c>
      <c r="S9" s="9">
        <f>D9*VLOOKUP(F9,보스!$A$4:$E$5,4,FALSE)</f>
        <v>8503.6121279999988</v>
      </c>
    </row>
    <row r="10" spans="1:19" ht="21.95" customHeight="1">
      <c r="A10" s="6">
        <v>5007</v>
      </c>
      <c r="B10" s="2" t="s">
        <v>158</v>
      </c>
      <c r="C10" s="6">
        <v>7</v>
      </c>
      <c r="D10" s="7">
        <v>141.18887536</v>
      </c>
      <c r="E10" s="2" t="s">
        <v>152</v>
      </c>
      <c r="F10" s="6">
        <v>2001</v>
      </c>
      <c r="G10" s="6">
        <v>5</v>
      </c>
      <c r="H10" s="7">
        <v>30</v>
      </c>
      <c r="I10" s="6">
        <v>5</v>
      </c>
      <c r="J10" s="6">
        <v>2</v>
      </c>
      <c r="K10" s="6">
        <v>1</v>
      </c>
      <c r="L10" s="6">
        <v>15</v>
      </c>
      <c r="M10" s="6">
        <v>524</v>
      </c>
      <c r="N10" s="6">
        <v>10480</v>
      </c>
      <c r="O10" s="6">
        <v>5</v>
      </c>
      <c r="P10" s="7">
        <v>12.126440000000001</v>
      </c>
      <c r="Q10" s="7">
        <v>51.296100000000003</v>
      </c>
      <c r="R10" s="9">
        <f>D10*VLOOKUP(1001,적!$A$4:$D$13,3,FALSE)</f>
        <v>282.37775071999999</v>
      </c>
      <c r="S10" s="9">
        <f>D10*VLOOKUP(F10,보스!$A$4:$E$5,4,FALSE)</f>
        <v>10165.599025920001</v>
      </c>
    </row>
    <row r="11" spans="1:19" ht="21.95" customHeight="1">
      <c r="A11" s="6">
        <v>5008</v>
      </c>
      <c r="B11" s="2" t="s">
        <v>159</v>
      </c>
      <c r="C11" s="6">
        <v>8</v>
      </c>
      <c r="D11" s="7">
        <v>164.76940680000001</v>
      </c>
      <c r="E11" s="2" t="s">
        <v>152</v>
      </c>
      <c r="F11" s="6">
        <v>2002</v>
      </c>
      <c r="G11" s="6">
        <v>5</v>
      </c>
      <c r="H11" s="7">
        <v>30</v>
      </c>
      <c r="I11" s="6">
        <v>5</v>
      </c>
      <c r="J11" s="6">
        <v>2</v>
      </c>
      <c r="K11" s="6">
        <v>1</v>
      </c>
      <c r="L11" s="6">
        <v>15</v>
      </c>
      <c r="M11" s="6">
        <v>708</v>
      </c>
      <c r="N11" s="6">
        <v>14160</v>
      </c>
      <c r="O11" s="6">
        <v>5</v>
      </c>
      <c r="P11" s="7">
        <v>14.06592</v>
      </c>
      <c r="Q11" s="7">
        <v>59.452800000000003</v>
      </c>
      <c r="R11" s="9">
        <f>D11*VLOOKUP(1001,적!$A$4:$D$13,3,FALSE)</f>
        <v>329.53881360000003</v>
      </c>
      <c r="S11" s="9">
        <f>D11*VLOOKUP(F11,보스!$A$4:$E$5,4,FALSE)</f>
        <v>11863.397289600001</v>
      </c>
    </row>
    <row r="12" spans="1:19" ht="21.95" customHeight="1">
      <c r="A12" s="6">
        <v>5009</v>
      </c>
      <c r="B12" s="2" t="s">
        <v>160</v>
      </c>
      <c r="C12" s="6">
        <v>9</v>
      </c>
      <c r="D12" s="7">
        <v>188.84822912000001</v>
      </c>
      <c r="E12" s="2" t="s">
        <v>152</v>
      </c>
      <c r="F12" s="6">
        <v>2001</v>
      </c>
      <c r="G12" s="6">
        <v>5</v>
      </c>
      <c r="H12" s="7">
        <v>30</v>
      </c>
      <c r="I12" s="6">
        <v>5</v>
      </c>
      <c r="J12" s="6">
        <v>2</v>
      </c>
      <c r="K12" s="6">
        <v>1</v>
      </c>
      <c r="L12" s="6">
        <v>15</v>
      </c>
      <c r="M12" s="6">
        <v>838</v>
      </c>
      <c r="N12" s="6">
        <v>16760</v>
      </c>
      <c r="O12" s="6">
        <v>5</v>
      </c>
      <c r="P12" s="7">
        <v>16.03004</v>
      </c>
      <c r="Q12" s="7">
        <v>67.713099999999997</v>
      </c>
      <c r="R12" s="9">
        <f>D12*VLOOKUP(1001,적!$A$4:$D$13,3,FALSE)</f>
        <v>377.69645824000003</v>
      </c>
      <c r="S12" s="9">
        <f>D12*VLOOKUP(F12,보스!$A$4:$E$5,4,FALSE)</f>
        <v>13597.072496640001</v>
      </c>
    </row>
    <row r="13" spans="1:19" ht="21.95" customHeight="1">
      <c r="A13" s="6">
        <v>5010</v>
      </c>
      <c r="B13" s="2" t="s">
        <v>161</v>
      </c>
      <c r="C13" s="6">
        <v>10</v>
      </c>
      <c r="D13" s="7">
        <v>213.42627039999999</v>
      </c>
      <c r="E13" s="2" t="s">
        <v>152</v>
      </c>
      <c r="F13" s="6">
        <v>2002</v>
      </c>
      <c r="G13" s="6">
        <v>5</v>
      </c>
      <c r="H13" s="7">
        <v>30</v>
      </c>
      <c r="I13" s="6">
        <v>5</v>
      </c>
      <c r="J13" s="6">
        <v>2</v>
      </c>
      <c r="K13" s="6">
        <v>1</v>
      </c>
      <c r="L13" s="6">
        <v>15</v>
      </c>
      <c r="M13" s="6">
        <v>1077</v>
      </c>
      <c r="N13" s="6">
        <v>21540</v>
      </c>
      <c r="O13" s="6">
        <v>6</v>
      </c>
      <c r="P13" s="7">
        <v>18.018799999999999</v>
      </c>
      <c r="Q13" s="7">
        <v>76.076999999999998</v>
      </c>
      <c r="R13" s="9">
        <f>D13*VLOOKUP(1001,적!$A$4:$D$13,3,FALSE)</f>
        <v>426.85254079999999</v>
      </c>
      <c r="S13" s="9">
        <f>D13*VLOOKUP(F13,보스!$A$4:$E$5,4,FALSE)</f>
        <v>15366.6914688</v>
      </c>
    </row>
    <row r="14" spans="1:19" ht="21.95" customHeight="1">
      <c r="A14" s="6">
        <v>5011</v>
      </c>
      <c r="B14" s="2" t="s">
        <v>162</v>
      </c>
      <c r="C14" s="6">
        <v>11</v>
      </c>
      <c r="D14" s="7">
        <v>238.50447600000001</v>
      </c>
      <c r="E14" s="2" t="s">
        <v>152</v>
      </c>
      <c r="F14" s="6">
        <v>2001</v>
      </c>
      <c r="G14" s="6">
        <v>5</v>
      </c>
      <c r="H14" s="7">
        <v>30</v>
      </c>
      <c r="I14" s="6">
        <v>5</v>
      </c>
      <c r="J14" s="6">
        <v>2</v>
      </c>
      <c r="K14" s="6">
        <v>1</v>
      </c>
      <c r="L14" s="6">
        <v>15</v>
      </c>
      <c r="M14" s="6">
        <v>1230</v>
      </c>
      <c r="N14" s="6">
        <v>24600</v>
      </c>
      <c r="O14" s="6">
        <v>6</v>
      </c>
      <c r="P14" s="7">
        <v>20.0322</v>
      </c>
      <c r="Q14" s="7">
        <v>84.544499999999999</v>
      </c>
      <c r="R14" s="9">
        <f>D14*VLOOKUP(1001,적!$A$4:$D$13,3,FALSE)</f>
        <v>477.00895200000002</v>
      </c>
      <c r="S14" s="9">
        <f>D14*VLOOKUP(F14,보스!$A$4:$E$5,4,FALSE)</f>
        <v>17172.322272000001</v>
      </c>
    </row>
    <row r="15" spans="1:19" ht="21.95" customHeight="1">
      <c r="A15" s="6">
        <v>5012</v>
      </c>
      <c r="B15" s="2" t="s">
        <v>163</v>
      </c>
      <c r="C15" s="6">
        <v>12</v>
      </c>
      <c r="D15" s="7">
        <v>264.08380856000002</v>
      </c>
      <c r="E15" s="2" t="s">
        <v>152</v>
      </c>
      <c r="F15" s="6">
        <v>2002</v>
      </c>
      <c r="G15" s="6">
        <v>5</v>
      </c>
      <c r="H15" s="7">
        <v>30</v>
      </c>
      <c r="I15" s="6">
        <v>5</v>
      </c>
      <c r="J15" s="6">
        <v>2</v>
      </c>
      <c r="K15" s="6">
        <v>1</v>
      </c>
      <c r="L15" s="6">
        <v>15</v>
      </c>
      <c r="M15" s="6">
        <v>1534</v>
      </c>
      <c r="N15" s="6">
        <v>30680</v>
      </c>
      <c r="O15" s="6">
        <v>6</v>
      </c>
      <c r="P15" s="7">
        <v>22.070239999999998</v>
      </c>
      <c r="Q15" s="7">
        <v>93.115600000000001</v>
      </c>
      <c r="R15" s="9">
        <f>D15*VLOOKUP(1001,적!$A$4:$D$13,3,FALSE)</f>
        <v>528.16761712000005</v>
      </c>
      <c r="S15" s="9">
        <f>D15*VLOOKUP(F15,보스!$A$4:$E$5,4,FALSE)</f>
        <v>19014.03421632</v>
      </c>
    </row>
    <row r="16" spans="1:19" ht="21.95" customHeight="1">
      <c r="A16" s="6">
        <v>5013</v>
      </c>
      <c r="B16" s="2" t="s">
        <v>164</v>
      </c>
      <c r="C16" s="6">
        <v>13</v>
      </c>
      <c r="D16" s="7">
        <v>290.16524800000002</v>
      </c>
      <c r="E16" s="2" t="s">
        <v>152</v>
      </c>
      <c r="F16" s="6">
        <v>2001</v>
      </c>
      <c r="G16" s="6">
        <v>5</v>
      </c>
      <c r="H16" s="7">
        <v>30</v>
      </c>
      <c r="I16" s="6">
        <v>5</v>
      </c>
      <c r="J16" s="6">
        <v>2</v>
      </c>
      <c r="K16" s="6">
        <v>1</v>
      </c>
      <c r="L16" s="6">
        <v>15</v>
      </c>
      <c r="M16" s="6">
        <v>1712</v>
      </c>
      <c r="N16" s="6">
        <v>34240</v>
      </c>
      <c r="O16" s="6">
        <v>6</v>
      </c>
      <c r="P16" s="7">
        <v>24.132919999999999</v>
      </c>
      <c r="Q16" s="7">
        <v>101.7903</v>
      </c>
      <c r="R16" s="9">
        <f>D16*VLOOKUP(1001,적!$A$4:$D$13,3,FALSE)</f>
        <v>580.33049600000004</v>
      </c>
      <c r="S16" s="9">
        <f>D16*VLOOKUP(F16,보스!$A$4:$E$5,4,FALSE)</f>
        <v>20891.897856000003</v>
      </c>
    </row>
    <row r="17" spans="1:19" ht="21.95" customHeight="1">
      <c r="A17" s="6">
        <v>5014</v>
      </c>
      <c r="B17" s="2" t="s">
        <v>165</v>
      </c>
      <c r="C17" s="6">
        <v>14</v>
      </c>
      <c r="D17" s="7">
        <v>316.74979151999997</v>
      </c>
      <c r="E17" s="2" t="s">
        <v>152</v>
      </c>
      <c r="F17" s="6">
        <v>2002</v>
      </c>
      <c r="G17" s="6">
        <v>5</v>
      </c>
      <c r="H17" s="7">
        <v>30</v>
      </c>
      <c r="I17" s="6">
        <v>5</v>
      </c>
      <c r="J17" s="6">
        <v>2</v>
      </c>
      <c r="K17" s="6">
        <v>1</v>
      </c>
      <c r="L17" s="6">
        <v>15</v>
      </c>
      <c r="M17" s="6">
        <v>2076</v>
      </c>
      <c r="N17" s="6">
        <v>41520</v>
      </c>
      <c r="O17" s="6">
        <v>6</v>
      </c>
      <c r="P17" s="7">
        <v>26.22024</v>
      </c>
      <c r="Q17" s="7">
        <v>110.5686</v>
      </c>
      <c r="R17" s="9">
        <f>D17*VLOOKUP(1001,적!$A$4:$D$13,3,FALSE)</f>
        <v>633.49958303999995</v>
      </c>
      <c r="S17" s="9">
        <f>D17*VLOOKUP(F17,보스!$A$4:$E$5,4,FALSE)</f>
        <v>22805.984989439999</v>
      </c>
    </row>
    <row r="18" spans="1:19" ht="21.95" customHeight="1">
      <c r="A18" s="6">
        <v>5015</v>
      </c>
      <c r="B18" s="2" t="s">
        <v>166</v>
      </c>
      <c r="C18" s="6">
        <v>15</v>
      </c>
      <c r="D18" s="7">
        <v>343.83845359999998</v>
      </c>
      <c r="E18" s="2" t="s">
        <v>152</v>
      </c>
      <c r="F18" s="6">
        <v>2001</v>
      </c>
      <c r="G18" s="6">
        <v>5</v>
      </c>
      <c r="H18" s="7">
        <v>30</v>
      </c>
      <c r="I18" s="6">
        <v>5</v>
      </c>
      <c r="J18" s="6">
        <v>2</v>
      </c>
      <c r="K18" s="6">
        <v>1</v>
      </c>
      <c r="L18" s="6">
        <v>15</v>
      </c>
      <c r="M18" s="6">
        <v>2259</v>
      </c>
      <c r="N18" s="6">
        <v>45180</v>
      </c>
      <c r="O18" s="6">
        <v>6</v>
      </c>
      <c r="P18" s="7">
        <v>28.3322</v>
      </c>
      <c r="Q18" s="7">
        <v>119.45050000000001</v>
      </c>
      <c r="R18" s="9">
        <f>D18*VLOOKUP(1001,적!$A$4:$D$13,3,FALSE)</f>
        <v>687.67690719999996</v>
      </c>
      <c r="S18" s="9">
        <f>D18*VLOOKUP(F18,보스!$A$4:$E$5,4,FALSE)</f>
        <v>24756.368659199998</v>
      </c>
    </row>
    <row r="19" spans="1:19" ht="21.95" customHeight="1">
      <c r="A19" s="6">
        <v>5016</v>
      </c>
      <c r="B19" s="2" t="s">
        <v>167</v>
      </c>
      <c r="C19" s="6">
        <v>16</v>
      </c>
      <c r="D19" s="7">
        <v>371.43226600000003</v>
      </c>
      <c r="E19" s="2" t="s">
        <v>152</v>
      </c>
      <c r="F19" s="6">
        <v>2002</v>
      </c>
      <c r="G19" s="6">
        <v>5</v>
      </c>
      <c r="H19" s="7">
        <v>30</v>
      </c>
      <c r="I19" s="6">
        <v>5</v>
      </c>
      <c r="J19" s="6">
        <v>2</v>
      </c>
      <c r="K19" s="6">
        <v>1</v>
      </c>
      <c r="L19" s="6">
        <v>15</v>
      </c>
      <c r="M19" s="6">
        <v>2684</v>
      </c>
      <c r="N19" s="6">
        <v>53680</v>
      </c>
      <c r="O19" s="6">
        <v>6</v>
      </c>
      <c r="P19" s="7">
        <v>30.468800000000002</v>
      </c>
      <c r="Q19" s="7">
        <v>128.43600000000001</v>
      </c>
      <c r="R19" s="9">
        <f>D19*VLOOKUP(1001,적!$A$4:$D$13,3,FALSE)</f>
        <v>742.86453200000005</v>
      </c>
      <c r="S19" s="9">
        <f>D19*VLOOKUP(F19,보스!$A$4:$E$5,4,FALSE)</f>
        <v>26743.123152</v>
      </c>
    </row>
    <row r="20" spans="1:19" ht="21.95" customHeight="1">
      <c r="A20" s="6">
        <v>5017</v>
      </c>
      <c r="B20" s="2" t="s">
        <v>168</v>
      </c>
      <c r="C20" s="6">
        <v>17</v>
      </c>
      <c r="D20" s="7">
        <v>399.53227776</v>
      </c>
      <c r="E20" s="2" t="s">
        <v>152</v>
      </c>
      <c r="F20" s="6">
        <v>2001</v>
      </c>
      <c r="G20" s="6">
        <v>5</v>
      </c>
      <c r="H20" s="7">
        <v>30</v>
      </c>
      <c r="I20" s="6">
        <v>5</v>
      </c>
      <c r="J20" s="6">
        <v>2</v>
      </c>
      <c r="K20" s="6">
        <v>1</v>
      </c>
      <c r="L20" s="6">
        <v>15</v>
      </c>
      <c r="M20" s="6">
        <v>2863</v>
      </c>
      <c r="N20" s="6">
        <v>57260</v>
      </c>
      <c r="O20" s="6">
        <v>6</v>
      </c>
      <c r="P20" s="7">
        <v>32.630040000000001</v>
      </c>
      <c r="Q20" s="7">
        <v>137.52510000000001</v>
      </c>
      <c r="R20" s="9">
        <f>D20*VLOOKUP(1001,적!$A$4:$D$13,3,FALSE)</f>
        <v>799.06455552</v>
      </c>
      <c r="S20" s="9">
        <f>D20*VLOOKUP(F20,보스!$A$4:$E$5,4,FALSE)</f>
        <v>28766.32399872</v>
      </c>
    </row>
    <row r="21" spans="1:19" ht="21.95" customHeight="1">
      <c r="A21" s="6">
        <v>5018</v>
      </c>
      <c r="B21" s="2" t="s">
        <v>169</v>
      </c>
      <c r="C21" s="6">
        <v>18</v>
      </c>
      <c r="D21" s="7">
        <v>428.13955520000002</v>
      </c>
      <c r="E21" s="2" t="s">
        <v>152</v>
      </c>
      <c r="F21" s="6">
        <v>2002</v>
      </c>
      <c r="G21" s="6">
        <v>5</v>
      </c>
      <c r="H21" s="7">
        <v>30</v>
      </c>
      <c r="I21" s="6">
        <v>5</v>
      </c>
      <c r="J21" s="6">
        <v>2</v>
      </c>
      <c r="K21" s="6">
        <v>1</v>
      </c>
      <c r="L21" s="6">
        <v>15</v>
      </c>
      <c r="M21" s="6">
        <v>3350</v>
      </c>
      <c r="N21" s="6">
        <v>67000</v>
      </c>
      <c r="O21" s="6">
        <v>6</v>
      </c>
      <c r="P21" s="7">
        <v>34.815919999999998</v>
      </c>
      <c r="Q21" s="7">
        <v>146.71780000000001</v>
      </c>
      <c r="R21" s="9">
        <f>D21*VLOOKUP(1001,적!$A$4:$D$13,3,FALSE)</f>
        <v>856.27911040000004</v>
      </c>
      <c r="S21" s="9">
        <f>D21*VLOOKUP(F21,보스!$A$4:$E$5,4,FALSE)</f>
        <v>30826.0479744</v>
      </c>
    </row>
    <row r="22" spans="1:19" ht="21.95" customHeight="1">
      <c r="A22" s="6">
        <v>5019</v>
      </c>
      <c r="B22" s="2" t="s">
        <v>170</v>
      </c>
      <c r="C22" s="6">
        <v>19</v>
      </c>
      <c r="D22" s="7">
        <v>457.25518191999998</v>
      </c>
      <c r="E22" s="2" t="s">
        <v>152</v>
      </c>
      <c r="F22" s="6">
        <v>2001</v>
      </c>
      <c r="G22" s="6">
        <v>5</v>
      </c>
      <c r="H22" s="7">
        <v>30</v>
      </c>
      <c r="I22" s="6">
        <v>5</v>
      </c>
      <c r="J22" s="6">
        <v>2</v>
      </c>
      <c r="K22" s="6">
        <v>1</v>
      </c>
      <c r="L22" s="6">
        <v>15</v>
      </c>
      <c r="M22" s="6">
        <v>3517</v>
      </c>
      <c r="N22" s="6">
        <v>70340</v>
      </c>
      <c r="O22" s="6">
        <v>6</v>
      </c>
      <c r="P22" s="7">
        <v>37.026440000000001</v>
      </c>
      <c r="Q22" s="7">
        <v>156.01410000000001</v>
      </c>
      <c r="R22" s="9">
        <f>D22*VLOOKUP(1001,적!$A$4:$D$13,3,FALSE)</f>
        <v>914.51036383999997</v>
      </c>
      <c r="S22" s="9">
        <f>D22*VLOOKUP(F22,보스!$A$4:$E$5,4,FALSE)</f>
        <v>32922.373098240001</v>
      </c>
    </row>
    <row r="23" spans="1:19" ht="21.95" customHeight="1">
      <c r="A23" s="6">
        <v>5020</v>
      </c>
      <c r="B23" s="2" t="s">
        <v>171</v>
      </c>
      <c r="C23" s="6">
        <v>20</v>
      </c>
      <c r="D23" s="7">
        <v>486.88025879999998</v>
      </c>
      <c r="E23" s="2" t="s">
        <v>152</v>
      </c>
      <c r="F23" s="6">
        <v>2002</v>
      </c>
      <c r="G23" s="6">
        <v>5</v>
      </c>
      <c r="H23" s="7">
        <v>30</v>
      </c>
      <c r="I23" s="6">
        <v>5</v>
      </c>
      <c r="J23" s="6">
        <v>2</v>
      </c>
      <c r="K23" s="6">
        <v>1</v>
      </c>
      <c r="L23" s="6">
        <v>15</v>
      </c>
      <c r="M23" s="6">
        <v>4066</v>
      </c>
      <c r="N23" s="6">
        <v>81320</v>
      </c>
      <c r="O23" s="6">
        <v>7</v>
      </c>
      <c r="P23" s="7">
        <v>39.261600000000001</v>
      </c>
      <c r="Q23" s="7">
        <v>165.41399999999999</v>
      </c>
      <c r="R23" s="9">
        <f>D23*VLOOKUP(1001,적!$A$4:$D$13,3,FALSE)</f>
        <v>973.76051759999996</v>
      </c>
      <c r="S23" s="9">
        <f>D23*VLOOKUP(F23,보스!$A$4:$E$5,4,FALSE)</f>
        <v>35055.378633599998</v>
      </c>
    </row>
    <row r="24" spans="1:19" ht="21.95" customHeight="1">
      <c r="A24" s="6">
        <v>5021</v>
      </c>
      <c r="B24" s="2" t="s">
        <v>172</v>
      </c>
      <c r="C24" s="6">
        <v>21</v>
      </c>
      <c r="D24" s="7">
        <v>517.01590399999998</v>
      </c>
      <c r="E24" s="2" t="s">
        <v>152</v>
      </c>
      <c r="F24" s="6">
        <v>2001</v>
      </c>
      <c r="G24" s="6">
        <v>5</v>
      </c>
      <c r="H24" s="7">
        <v>30</v>
      </c>
      <c r="I24" s="6">
        <v>5</v>
      </c>
      <c r="J24" s="6">
        <v>2</v>
      </c>
      <c r="K24" s="6">
        <v>1</v>
      </c>
      <c r="L24" s="6">
        <v>15</v>
      </c>
      <c r="M24" s="6">
        <v>4212</v>
      </c>
      <c r="N24" s="6">
        <v>84240</v>
      </c>
      <c r="O24" s="6">
        <v>7</v>
      </c>
      <c r="P24" s="7">
        <v>41.5214</v>
      </c>
      <c r="Q24" s="7">
        <v>174.91749999999999</v>
      </c>
      <c r="R24" s="9">
        <f>D24*VLOOKUP(1001,적!$A$4:$D$13,3,FALSE)</f>
        <v>1034.031808</v>
      </c>
      <c r="S24" s="9">
        <f>D24*VLOOKUP(F24,보스!$A$4:$E$5,4,FALSE)</f>
        <v>37225.145087999997</v>
      </c>
    </row>
    <row r="25" spans="1:19" ht="21.95" customHeight="1">
      <c r="A25" s="6">
        <v>5022</v>
      </c>
      <c r="B25" s="2" t="s">
        <v>173</v>
      </c>
      <c r="C25" s="6">
        <v>22</v>
      </c>
      <c r="D25" s="7">
        <v>547.66325296000002</v>
      </c>
      <c r="E25" s="2" t="s">
        <v>152</v>
      </c>
      <c r="F25" s="6">
        <v>2002</v>
      </c>
      <c r="G25" s="6">
        <v>5</v>
      </c>
      <c r="H25" s="7">
        <v>30</v>
      </c>
      <c r="I25" s="6">
        <v>5</v>
      </c>
      <c r="J25" s="6">
        <v>2</v>
      </c>
      <c r="K25" s="6">
        <v>1</v>
      </c>
      <c r="L25" s="6">
        <v>15</v>
      </c>
      <c r="M25" s="6">
        <v>4827</v>
      </c>
      <c r="N25" s="6">
        <v>96540</v>
      </c>
      <c r="O25" s="6">
        <v>7</v>
      </c>
      <c r="P25" s="7">
        <v>43.805840000000003</v>
      </c>
      <c r="Q25" s="7">
        <v>184.52459999999999</v>
      </c>
      <c r="R25" s="9">
        <f>D25*VLOOKUP(1001,적!$A$4:$D$13,3,FALSE)</f>
        <v>1095.32650592</v>
      </c>
      <c r="S25" s="9">
        <f>D25*VLOOKUP(F25,보스!$A$4:$E$5,4,FALSE)</f>
        <v>39431.754213120003</v>
      </c>
    </row>
    <row r="26" spans="1:19" ht="21.95" customHeight="1">
      <c r="A26" s="6">
        <v>5023</v>
      </c>
      <c r="B26" s="2" t="s">
        <v>174</v>
      </c>
      <c r="C26" s="6">
        <v>23</v>
      </c>
      <c r="D26" s="7">
        <v>578.82345840000005</v>
      </c>
      <c r="E26" s="2" t="s">
        <v>152</v>
      </c>
      <c r="F26" s="6">
        <v>2001</v>
      </c>
      <c r="G26" s="6">
        <v>5</v>
      </c>
      <c r="H26" s="7">
        <v>30</v>
      </c>
      <c r="I26" s="6">
        <v>5</v>
      </c>
      <c r="J26" s="6">
        <v>2</v>
      </c>
      <c r="K26" s="6">
        <v>1</v>
      </c>
      <c r="L26" s="6">
        <v>15</v>
      </c>
      <c r="M26" s="6">
        <v>4945</v>
      </c>
      <c r="N26" s="6">
        <v>98900</v>
      </c>
      <c r="O26" s="6">
        <v>7</v>
      </c>
      <c r="P26" s="7">
        <v>46.114919999999998</v>
      </c>
      <c r="Q26" s="7">
        <v>194.2353</v>
      </c>
      <c r="R26" s="9">
        <f>D26*VLOOKUP(1001,적!$A$4:$D$13,3,FALSE)</f>
        <v>1157.6469168000001</v>
      </c>
      <c r="S26" s="9">
        <f>D26*VLOOKUP(F26,보스!$A$4:$E$5,4,FALSE)</f>
        <v>41675.289004800004</v>
      </c>
    </row>
    <row r="27" spans="1:19" ht="21.95" customHeight="1">
      <c r="A27" s="6">
        <v>5024</v>
      </c>
      <c r="B27" s="2" t="s">
        <v>175</v>
      </c>
      <c r="C27" s="6">
        <v>24</v>
      </c>
      <c r="D27" s="7">
        <v>610.49769031999995</v>
      </c>
      <c r="E27" s="2" t="s">
        <v>152</v>
      </c>
      <c r="F27" s="6">
        <v>2002</v>
      </c>
      <c r="G27" s="6">
        <v>5</v>
      </c>
      <c r="H27" s="7">
        <v>30</v>
      </c>
      <c r="I27" s="6">
        <v>5</v>
      </c>
      <c r="J27" s="6">
        <v>2</v>
      </c>
      <c r="K27" s="6">
        <v>1</v>
      </c>
      <c r="L27" s="6">
        <v>15</v>
      </c>
      <c r="M27" s="6">
        <v>5626</v>
      </c>
      <c r="N27" s="6">
        <v>112520</v>
      </c>
      <c r="O27" s="6">
        <v>7</v>
      </c>
      <c r="P27" s="7">
        <v>48.448639999999997</v>
      </c>
      <c r="Q27" s="7">
        <v>204.0496</v>
      </c>
      <c r="R27" s="9">
        <f>D27*VLOOKUP(1001,적!$A$4:$D$13,3,FALSE)</f>
        <v>1220.9953806399999</v>
      </c>
      <c r="S27" s="9">
        <f>D27*VLOOKUP(F27,보스!$A$4:$E$5,4,FALSE)</f>
        <v>43955.83370304</v>
      </c>
    </row>
    <row r="28" spans="1:19" ht="21.95" customHeight="1">
      <c r="A28" s="6">
        <v>5025</v>
      </c>
      <c r="B28" s="2" t="s">
        <v>176</v>
      </c>
      <c r="C28" s="6">
        <v>25</v>
      </c>
      <c r="D28" s="7">
        <v>642.68713600000001</v>
      </c>
      <c r="E28" s="2" t="s">
        <v>152</v>
      </c>
      <c r="F28" s="6">
        <v>2001</v>
      </c>
      <c r="G28" s="6">
        <v>5</v>
      </c>
      <c r="H28" s="7">
        <v>30</v>
      </c>
      <c r="I28" s="6">
        <v>5</v>
      </c>
      <c r="J28" s="6">
        <v>2</v>
      </c>
      <c r="K28" s="6">
        <v>1</v>
      </c>
      <c r="L28" s="6">
        <v>15</v>
      </c>
      <c r="M28" s="6">
        <v>5709</v>
      </c>
      <c r="N28" s="6">
        <v>114180</v>
      </c>
      <c r="O28" s="6">
        <v>7</v>
      </c>
      <c r="P28" s="7">
        <v>50.807000000000002</v>
      </c>
      <c r="Q28" s="7">
        <v>213.9675</v>
      </c>
      <c r="R28" s="9">
        <f>D28*VLOOKUP(1001,적!$A$4:$D$13,3,FALSE)</f>
        <v>1285.374272</v>
      </c>
      <c r="S28" s="9">
        <f>D28*VLOOKUP(F28,보스!$A$4:$E$5,4,FALSE)</f>
        <v>46273.473792000004</v>
      </c>
    </row>
    <row r="29" spans="1:19" ht="21.95" customHeight="1">
      <c r="A29" s="6">
        <v>5026</v>
      </c>
      <c r="B29" s="2" t="s">
        <v>177</v>
      </c>
      <c r="C29" s="6">
        <v>26</v>
      </c>
      <c r="D29" s="7">
        <v>675.39300000000003</v>
      </c>
      <c r="E29" s="2" t="s">
        <v>152</v>
      </c>
      <c r="F29" s="6">
        <v>2002</v>
      </c>
      <c r="G29" s="6">
        <v>5</v>
      </c>
      <c r="H29" s="7">
        <v>30</v>
      </c>
      <c r="I29" s="6">
        <v>5</v>
      </c>
      <c r="J29" s="6">
        <v>2</v>
      </c>
      <c r="K29" s="6">
        <v>1</v>
      </c>
      <c r="L29" s="6">
        <v>15</v>
      </c>
      <c r="M29" s="6">
        <v>6460</v>
      </c>
      <c r="N29" s="6">
        <v>129200</v>
      </c>
      <c r="O29" s="6">
        <v>7</v>
      </c>
      <c r="P29" s="7">
        <v>53.19</v>
      </c>
      <c r="Q29" s="7">
        <v>223.989</v>
      </c>
      <c r="R29" s="9">
        <f>D29*VLOOKUP(1001,적!$A$4:$D$13,3,FALSE)</f>
        <v>1350.7860000000001</v>
      </c>
      <c r="S29" s="9">
        <f>D29*VLOOKUP(F29,보스!$A$4:$E$5,4,FALSE)</f>
        <v>48628.296000000002</v>
      </c>
    </row>
    <row r="30" spans="1:19" ht="21.95" customHeight="1">
      <c r="A30" s="6">
        <v>5027</v>
      </c>
      <c r="B30" s="2" t="s">
        <v>178</v>
      </c>
      <c r="C30" s="6">
        <v>27</v>
      </c>
      <c r="D30" s="7">
        <v>708.61650415999998</v>
      </c>
      <c r="E30" s="2" t="s">
        <v>152</v>
      </c>
      <c r="F30" s="6">
        <v>2001</v>
      </c>
      <c r="G30" s="6">
        <v>5</v>
      </c>
      <c r="H30" s="7">
        <v>30</v>
      </c>
      <c r="I30" s="6">
        <v>5</v>
      </c>
      <c r="J30" s="6">
        <v>2</v>
      </c>
      <c r="K30" s="6">
        <v>1</v>
      </c>
      <c r="L30" s="6">
        <v>15</v>
      </c>
      <c r="M30" s="6">
        <v>6501</v>
      </c>
      <c r="N30" s="6">
        <v>130020</v>
      </c>
      <c r="O30" s="6">
        <v>7</v>
      </c>
      <c r="P30" s="7">
        <v>55.597639999999998</v>
      </c>
      <c r="Q30" s="7">
        <v>234.11410000000001</v>
      </c>
      <c r="R30" s="9">
        <f>D30*VLOOKUP(1001,적!$A$4:$D$13,3,FALSE)</f>
        <v>1417.23300832</v>
      </c>
      <c r="S30" s="9">
        <f>D30*VLOOKUP(F30,보스!$A$4:$E$5,4,FALSE)</f>
        <v>51020.388299519997</v>
      </c>
    </row>
    <row r="31" spans="1:19" ht="21.95" customHeight="1">
      <c r="A31" s="6">
        <v>5028</v>
      </c>
      <c r="B31" s="2" t="s">
        <v>179</v>
      </c>
      <c r="C31" s="6">
        <v>28</v>
      </c>
      <c r="D31" s="7">
        <v>742.3588876</v>
      </c>
      <c r="E31" s="2" t="s">
        <v>152</v>
      </c>
      <c r="F31" s="6">
        <v>2002</v>
      </c>
      <c r="G31" s="6">
        <v>5</v>
      </c>
      <c r="H31" s="7">
        <v>30</v>
      </c>
      <c r="I31" s="6">
        <v>5</v>
      </c>
      <c r="J31" s="6">
        <v>2</v>
      </c>
      <c r="K31" s="6">
        <v>1</v>
      </c>
      <c r="L31" s="6">
        <v>15</v>
      </c>
      <c r="M31" s="6">
        <v>7324</v>
      </c>
      <c r="N31" s="6">
        <v>146480</v>
      </c>
      <c r="O31" s="6">
        <v>7</v>
      </c>
      <c r="P31" s="7">
        <v>58.029919999999997</v>
      </c>
      <c r="Q31" s="7">
        <v>244.34280000000001</v>
      </c>
      <c r="R31" s="9">
        <f>D31*VLOOKUP(1001,적!$A$4:$D$13,3,FALSE)</f>
        <v>1484.7177752</v>
      </c>
      <c r="S31" s="9">
        <f>D31*VLOOKUP(F31,보스!$A$4:$E$5,4,FALSE)</f>
        <v>53449.839907200003</v>
      </c>
    </row>
    <row r="32" spans="1:19" ht="21.95" customHeight="1">
      <c r="A32" s="6">
        <v>5029</v>
      </c>
      <c r="B32" s="2" t="s">
        <v>180</v>
      </c>
      <c r="C32" s="6">
        <v>29</v>
      </c>
      <c r="D32" s="7">
        <v>776.62140671999998</v>
      </c>
      <c r="E32" s="2" t="s">
        <v>152</v>
      </c>
      <c r="F32" s="6">
        <v>2001</v>
      </c>
      <c r="G32" s="6">
        <v>5</v>
      </c>
      <c r="H32" s="7">
        <v>30</v>
      </c>
      <c r="I32" s="6">
        <v>5</v>
      </c>
      <c r="J32" s="6">
        <v>2</v>
      </c>
      <c r="K32" s="6">
        <v>1</v>
      </c>
      <c r="L32" s="6">
        <v>15</v>
      </c>
      <c r="M32" s="6">
        <v>7316</v>
      </c>
      <c r="N32" s="6">
        <v>146320</v>
      </c>
      <c r="O32" s="6">
        <v>7</v>
      </c>
      <c r="P32" s="7">
        <v>60.486840000000001</v>
      </c>
      <c r="Q32" s="7">
        <v>254.67509999999999</v>
      </c>
      <c r="R32" s="9">
        <f>D32*VLOOKUP(1001,적!$A$4:$D$13,3,FALSE)</f>
        <v>1553.24281344</v>
      </c>
      <c r="S32" s="9">
        <f>D32*VLOOKUP(F32,보스!$A$4:$E$5,4,FALSE)</f>
        <v>55916.741283839998</v>
      </c>
    </row>
    <row r="33" spans="1:19" ht="21.95" customHeight="1">
      <c r="A33" s="6">
        <v>5030</v>
      </c>
      <c r="B33" s="2" t="s">
        <v>181</v>
      </c>
      <c r="C33" s="6">
        <v>30</v>
      </c>
      <c r="D33" s="7">
        <v>811.40533519999997</v>
      </c>
      <c r="E33" s="2" t="s">
        <v>152</v>
      </c>
      <c r="F33" s="6">
        <v>2002</v>
      </c>
      <c r="G33" s="6">
        <v>5</v>
      </c>
      <c r="H33" s="7">
        <v>30</v>
      </c>
      <c r="I33" s="6">
        <v>5</v>
      </c>
      <c r="J33" s="6">
        <v>2</v>
      </c>
      <c r="K33" s="6">
        <v>1</v>
      </c>
      <c r="L33" s="6">
        <v>15</v>
      </c>
      <c r="M33" s="6">
        <v>8215</v>
      </c>
      <c r="N33" s="6">
        <v>164300</v>
      </c>
      <c r="O33" s="6">
        <v>8</v>
      </c>
      <c r="P33" s="7">
        <v>62.968400000000003</v>
      </c>
      <c r="Q33" s="7">
        <v>265.11099999999999</v>
      </c>
      <c r="R33" s="9">
        <f>D33*VLOOKUP(1001,적!$A$4:$D$13,3,FALSE)</f>
        <v>1622.8106703999999</v>
      </c>
      <c r="S33" s="9">
        <f>D33*VLOOKUP(F33,보스!$A$4:$E$5,4,FALSE)</f>
        <v>58421.184134399999</v>
      </c>
    </row>
    <row r="34" spans="1:19" ht="21.95" customHeight="1">
      <c r="A34" s="6">
        <v>5031</v>
      </c>
      <c r="B34" s="2" t="s">
        <v>182</v>
      </c>
      <c r="C34" s="6">
        <v>31</v>
      </c>
      <c r="D34" s="7">
        <v>846.71196399999997</v>
      </c>
      <c r="E34" s="2" t="s">
        <v>152</v>
      </c>
      <c r="F34" s="6">
        <v>2001</v>
      </c>
      <c r="G34" s="6">
        <v>5</v>
      </c>
      <c r="H34" s="7">
        <v>30</v>
      </c>
      <c r="I34" s="6">
        <v>5</v>
      </c>
      <c r="J34" s="6">
        <v>2</v>
      </c>
      <c r="K34" s="6">
        <v>1</v>
      </c>
      <c r="L34" s="6">
        <v>15</v>
      </c>
      <c r="M34" s="6">
        <v>8151</v>
      </c>
      <c r="N34" s="6">
        <v>163020</v>
      </c>
      <c r="O34" s="6">
        <v>8</v>
      </c>
      <c r="P34" s="7">
        <v>65.474599999999995</v>
      </c>
      <c r="Q34" s="7">
        <v>275.65050000000002</v>
      </c>
      <c r="R34" s="9">
        <f>D34*VLOOKUP(1001,적!$A$4:$D$13,3,FALSE)</f>
        <v>1693.4239279999999</v>
      </c>
      <c r="S34" s="9">
        <f>D34*VLOOKUP(F34,보스!$A$4:$E$5,4,FALSE)</f>
        <v>60963.261407999998</v>
      </c>
    </row>
    <row r="35" spans="1:19" ht="21.95" customHeight="1">
      <c r="A35" s="6">
        <v>5032</v>
      </c>
      <c r="B35" s="2" t="s">
        <v>183</v>
      </c>
      <c r="C35" s="6">
        <v>32</v>
      </c>
      <c r="D35" s="7">
        <v>882.54260136000005</v>
      </c>
      <c r="E35" s="2" t="s">
        <v>152</v>
      </c>
      <c r="F35" s="6">
        <v>2002</v>
      </c>
      <c r="G35" s="6">
        <v>5</v>
      </c>
      <c r="H35" s="7">
        <v>30</v>
      </c>
      <c r="I35" s="6">
        <v>5</v>
      </c>
      <c r="J35" s="6">
        <v>2</v>
      </c>
      <c r="K35" s="6">
        <v>1</v>
      </c>
      <c r="L35" s="6">
        <v>15</v>
      </c>
      <c r="M35" s="6">
        <v>9129</v>
      </c>
      <c r="N35" s="6">
        <v>182580</v>
      </c>
      <c r="O35" s="6">
        <v>8</v>
      </c>
      <c r="P35" s="7">
        <v>68.005439999999993</v>
      </c>
      <c r="Q35" s="7">
        <v>286.29360000000003</v>
      </c>
      <c r="R35" s="9">
        <f>D35*VLOOKUP(1001,적!$A$4:$D$13,3,FALSE)</f>
        <v>1765.0852027200001</v>
      </c>
      <c r="S35" s="9">
        <f>D35*VLOOKUP(F35,보스!$A$4:$E$5,4,FALSE)</f>
        <v>63543.067297920003</v>
      </c>
    </row>
    <row r="36" spans="1:19" ht="21.95" customHeight="1">
      <c r="A36" s="6">
        <v>5033</v>
      </c>
      <c r="B36" s="2" t="s">
        <v>184</v>
      </c>
      <c r="C36" s="6">
        <v>33</v>
      </c>
      <c r="D36" s="7">
        <v>918.89857280000001</v>
      </c>
      <c r="E36" s="2" t="s">
        <v>152</v>
      </c>
      <c r="F36" s="6">
        <v>2001</v>
      </c>
      <c r="G36" s="6">
        <v>5</v>
      </c>
      <c r="H36" s="7">
        <v>30</v>
      </c>
      <c r="I36" s="6">
        <v>5</v>
      </c>
      <c r="J36" s="6">
        <v>2</v>
      </c>
      <c r="K36" s="6">
        <v>1</v>
      </c>
      <c r="L36" s="6">
        <v>15</v>
      </c>
      <c r="M36" s="6">
        <v>9005</v>
      </c>
      <c r="N36" s="6">
        <v>180100</v>
      </c>
      <c r="O36" s="6">
        <v>8</v>
      </c>
      <c r="P36" s="7">
        <v>70.560919999999996</v>
      </c>
      <c r="Q36" s="7">
        <v>297.0403</v>
      </c>
      <c r="R36" s="9">
        <f>D36*VLOOKUP(1001,적!$A$4:$D$13,3,FALSE)</f>
        <v>1837.7971456</v>
      </c>
      <c r="S36" s="9">
        <f>D36*VLOOKUP(F36,보스!$A$4:$E$5,4,FALSE)</f>
        <v>66160.697241600006</v>
      </c>
    </row>
    <row r="37" spans="1:19" ht="21.95" customHeight="1">
      <c r="A37" s="6">
        <v>5034</v>
      </c>
      <c r="B37" s="2" t="s">
        <v>185</v>
      </c>
      <c r="C37" s="6">
        <v>34</v>
      </c>
      <c r="D37" s="7">
        <v>955.78122112000005</v>
      </c>
      <c r="E37" s="2" t="s">
        <v>152</v>
      </c>
      <c r="F37" s="6">
        <v>2002</v>
      </c>
      <c r="G37" s="6">
        <v>5</v>
      </c>
      <c r="H37" s="7">
        <v>30</v>
      </c>
      <c r="I37" s="6">
        <v>5</v>
      </c>
      <c r="J37" s="6">
        <v>2</v>
      </c>
      <c r="K37" s="6">
        <v>1</v>
      </c>
      <c r="L37" s="6">
        <v>15</v>
      </c>
      <c r="M37" s="6">
        <v>10065</v>
      </c>
      <c r="N37" s="6">
        <v>201300</v>
      </c>
      <c r="O37" s="6">
        <v>8</v>
      </c>
      <c r="P37" s="7">
        <v>73.141040000000004</v>
      </c>
      <c r="Q37" s="7">
        <v>307.89060000000001</v>
      </c>
      <c r="R37" s="9">
        <f>D37*VLOOKUP(1001,적!$A$4:$D$13,3,FALSE)</f>
        <v>1911.5624422400001</v>
      </c>
      <c r="S37" s="9">
        <f>D37*VLOOKUP(F37,보스!$A$4:$E$5,4,FALSE)</f>
        <v>68816.247920640002</v>
      </c>
    </row>
    <row r="38" spans="1:19" ht="21.95" customHeight="1">
      <c r="A38" s="6">
        <v>5035</v>
      </c>
      <c r="B38" s="2" t="s">
        <v>186</v>
      </c>
      <c r="C38" s="6">
        <v>35</v>
      </c>
      <c r="D38" s="7">
        <v>993.19190639999999</v>
      </c>
      <c r="E38" s="2" t="s">
        <v>152</v>
      </c>
      <c r="F38" s="6">
        <v>2001</v>
      </c>
      <c r="G38" s="6">
        <v>5</v>
      </c>
      <c r="H38" s="7">
        <v>30</v>
      </c>
      <c r="I38" s="6">
        <v>5</v>
      </c>
      <c r="J38" s="6">
        <v>2</v>
      </c>
      <c r="K38" s="6">
        <v>1</v>
      </c>
      <c r="L38" s="6">
        <v>15</v>
      </c>
      <c r="M38" s="6">
        <v>9874</v>
      </c>
      <c r="N38" s="6">
        <v>197480</v>
      </c>
      <c r="O38" s="6">
        <v>8</v>
      </c>
      <c r="P38" s="7">
        <v>75.745800000000003</v>
      </c>
      <c r="Q38" s="7">
        <v>318.84449999999998</v>
      </c>
      <c r="R38" s="9">
        <f>D38*VLOOKUP(1001,적!$A$4:$D$13,3,FALSE)</f>
        <v>1986.3838128</v>
      </c>
      <c r="S38" s="9">
        <f>D38*VLOOKUP(F38,보스!$A$4:$E$5,4,FALSE)</f>
        <v>71509.817260800002</v>
      </c>
    </row>
    <row r="39" spans="1:19" ht="21.95" customHeight="1">
      <c r="A39" s="6">
        <v>5036</v>
      </c>
      <c r="B39" s="2" t="s">
        <v>187</v>
      </c>
      <c r="C39" s="6">
        <v>36</v>
      </c>
      <c r="D39" s="7">
        <v>1031.132006</v>
      </c>
      <c r="E39" s="2" t="s">
        <v>152</v>
      </c>
      <c r="F39" s="6">
        <v>2002</v>
      </c>
      <c r="G39" s="6">
        <v>5</v>
      </c>
      <c r="H39" s="7">
        <v>30</v>
      </c>
      <c r="I39" s="6">
        <v>5</v>
      </c>
      <c r="J39" s="6">
        <v>2</v>
      </c>
      <c r="K39" s="6">
        <v>1</v>
      </c>
      <c r="L39" s="6">
        <v>15</v>
      </c>
      <c r="M39" s="6">
        <v>11021</v>
      </c>
      <c r="N39" s="6">
        <v>220420</v>
      </c>
      <c r="O39" s="6">
        <v>8</v>
      </c>
      <c r="P39" s="7">
        <v>78.375200000000007</v>
      </c>
      <c r="Q39" s="7">
        <v>329.90199999999999</v>
      </c>
      <c r="R39" s="9">
        <f>D39*VLOOKUP(1001,적!$A$4:$D$13,3,FALSE)</f>
        <v>2062.2640120000001</v>
      </c>
      <c r="S39" s="9">
        <f>D39*VLOOKUP(F39,보스!$A$4:$E$5,4,FALSE)</f>
        <v>74241.504432000002</v>
      </c>
    </row>
    <row r="40" spans="1:19" ht="21.95" customHeight="1">
      <c r="A40" s="6">
        <v>5037</v>
      </c>
      <c r="B40" s="2" t="s">
        <v>188</v>
      </c>
      <c r="C40" s="6">
        <v>37</v>
      </c>
      <c r="D40" s="7">
        <v>1069.60291456</v>
      </c>
      <c r="E40" s="2" t="s">
        <v>152</v>
      </c>
      <c r="F40" s="6">
        <v>2001</v>
      </c>
      <c r="G40" s="6">
        <v>5</v>
      </c>
      <c r="H40" s="7">
        <v>30</v>
      </c>
      <c r="I40" s="6">
        <v>5</v>
      </c>
      <c r="J40" s="6">
        <v>2</v>
      </c>
      <c r="K40" s="6">
        <v>1</v>
      </c>
      <c r="L40" s="6">
        <v>15</v>
      </c>
      <c r="M40" s="6">
        <v>10757</v>
      </c>
      <c r="N40" s="6">
        <v>215140</v>
      </c>
      <c r="O40" s="6">
        <v>8</v>
      </c>
      <c r="P40" s="7">
        <v>81.029240000000001</v>
      </c>
      <c r="Q40" s="7">
        <v>341.06310000000002</v>
      </c>
      <c r="R40" s="9">
        <f>D40*VLOOKUP(1001,적!$A$4:$D$13,3,FALSE)</f>
        <v>2139.2058291200001</v>
      </c>
      <c r="S40" s="9">
        <f>D40*VLOOKUP(F40,보스!$A$4:$E$5,4,FALSE)</f>
        <v>77011.409848320007</v>
      </c>
    </row>
    <row r="41" spans="1:19" ht="21.95" customHeight="1">
      <c r="A41" s="6">
        <v>5038</v>
      </c>
      <c r="B41" s="2" t="s">
        <v>189</v>
      </c>
      <c r="C41" s="6">
        <v>38</v>
      </c>
      <c r="D41" s="7">
        <v>1108.6060440000001</v>
      </c>
      <c r="E41" s="2" t="s">
        <v>152</v>
      </c>
      <c r="F41" s="6">
        <v>2002</v>
      </c>
      <c r="G41" s="6">
        <v>5</v>
      </c>
      <c r="H41" s="7">
        <v>30</v>
      </c>
      <c r="I41" s="6">
        <v>5</v>
      </c>
      <c r="J41" s="6">
        <v>2</v>
      </c>
      <c r="K41" s="6">
        <v>1</v>
      </c>
      <c r="L41" s="6">
        <v>15</v>
      </c>
      <c r="M41" s="6">
        <v>11994</v>
      </c>
      <c r="N41" s="6">
        <v>239880</v>
      </c>
      <c r="O41" s="6">
        <v>8</v>
      </c>
      <c r="P41" s="7">
        <v>83.707920000000001</v>
      </c>
      <c r="Q41" s="7">
        <v>352.32780000000002</v>
      </c>
      <c r="R41" s="9">
        <f>D41*VLOOKUP(1001,적!$A$4:$D$13,3,FALSE)</f>
        <v>2217.2120880000002</v>
      </c>
      <c r="S41" s="9">
        <f>D41*VLOOKUP(F41,보스!$A$4:$E$5,4,FALSE)</f>
        <v>79819.635168000008</v>
      </c>
    </row>
    <row r="42" spans="1:19" ht="21.95" customHeight="1">
      <c r="A42" s="6">
        <v>5039</v>
      </c>
      <c r="B42" s="2" t="s">
        <v>190</v>
      </c>
      <c r="C42" s="6">
        <v>39</v>
      </c>
      <c r="D42" s="7">
        <v>1148.1428235200001</v>
      </c>
      <c r="E42" s="2" t="s">
        <v>152</v>
      </c>
      <c r="F42" s="6">
        <v>2001</v>
      </c>
      <c r="G42" s="6">
        <v>5</v>
      </c>
      <c r="H42" s="7">
        <v>30</v>
      </c>
      <c r="I42" s="6">
        <v>5</v>
      </c>
      <c r="J42" s="6">
        <v>2</v>
      </c>
      <c r="K42" s="6">
        <v>1</v>
      </c>
      <c r="L42" s="6">
        <v>15</v>
      </c>
      <c r="M42" s="6">
        <v>11652</v>
      </c>
      <c r="N42" s="6">
        <v>233040</v>
      </c>
      <c r="O42" s="6">
        <v>8</v>
      </c>
      <c r="P42" s="7">
        <v>86.411240000000006</v>
      </c>
      <c r="Q42" s="7">
        <v>363.6961</v>
      </c>
      <c r="R42" s="9">
        <f>D42*VLOOKUP(1001,적!$A$4:$D$13,3,FALSE)</f>
        <v>2296.2856470400002</v>
      </c>
      <c r="S42" s="9">
        <f>D42*VLOOKUP(F42,보스!$A$4:$E$5,4,FALSE)</f>
        <v>82666.283293440007</v>
      </c>
    </row>
    <row r="43" spans="1:19" ht="21.95" customHeight="1">
      <c r="A43" s="6">
        <v>5040</v>
      </c>
      <c r="B43" s="2" t="s">
        <v>191</v>
      </c>
      <c r="C43" s="6">
        <v>40</v>
      </c>
      <c r="D43" s="7">
        <v>1188.2146995999999</v>
      </c>
      <c r="E43" s="2" t="s">
        <v>152</v>
      </c>
      <c r="F43" s="6">
        <v>2002</v>
      </c>
      <c r="G43" s="6">
        <v>5</v>
      </c>
      <c r="H43" s="7">
        <v>30</v>
      </c>
      <c r="I43" s="6">
        <v>5</v>
      </c>
      <c r="J43" s="6">
        <v>2</v>
      </c>
      <c r="K43" s="6">
        <v>1</v>
      </c>
      <c r="L43" s="6">
        <v>15</v>
      </c>
      <c r="M43" s="6">
        <v>12982</v>
      </c>
      <c r="N43" s="6">
        <v>259640</v>
      </c>
      <c r="O43" s="6">
        <v>9</v>
      </c>
      <c r="P43" s="7">
        <v>89.139200000000002</v>
      </c>
      <c r="Q43" s="7">
        <v>375.16800000000001</v>
      </c>
      <c r="R43" s="9">
        <f>D43*VLOOKUP(1001,적!$A$4:$D$13,3,FALSE)</f>
        <v>2376.4293991999998</v>
      </c>
      <c r="S43" s="9">
        <f>D43*VLOOKUP(F43,보스!$A$4:$E$5,4,FALSE)</f>
        <v>85551.458371199988</v>
      </c>
    </row>
    <row r="44" spans="1:19" ht="21.95" customHeight="1">
      <c r="A44" s="6">
        <v>5041</v>
      </c>
      <c r="B44" s="2" t="s">
        <v>192</v>
      </c>
      <c r="C44" s="6">
        <v>41</v>
      </c>
      <c r="D44" s="7">
        <v>1228.823136</v>
      </c>
      <c r="E44" s="2" t="s">
        <v>152</v>
      </c>
      <c r="F44" s="6">
        <v>2001</v>
      </c>
      <c r="G44" s="6">
        <v>5</v>
      </c>
      <c r="H44" s="7">
        <v>30</v>
      </c>
      <c r="I44" s="6">
        <v>5</v>
      </c>
      <c r="J44" s="6">
        <v>2</v>
      </c>
      <c r="K44" s="6">
        <v>1</v>
      </c>
      <c r="L44" s="6">
        <v>15</v>
      </c>
      <c r="M44" s="6">
        <v>12558</v>
      </c>
      <c r="N44" s="6">
        <v>251160</v>
      </c>
      <c r="O44" s="6">
        <v>9</v>
      </c>
      <c r="P44" s="7">
        <v>91.891800000000003</v>
      </c>
      <c r="Q44" s="7">
        <v>386.74349999999998</v>
      </c>
      <c r="R44" s="9">
        <f>D44*VLOOKUP(1001,적!$A$4:$D$13,3,FALSE)</f>
        <v>2457.646272</v>
      </c>
      <c r="S44" s="9">
        <f>D44*VLOOKUP(F44,보스!$A$4:$E$5,4,FALSE)</f>
        <v>88475.265791999991</v>
      </c>
    </row>
    <row r="45" spans="1:19" ht="21.95" customHeight="1">
      <c r="A45" s="6">
        <v>5042</v>
      </c>
      <c r="B45" s="2" t="s">
        <v>193</v>
      </c>
      <c r="C45" s="6">
        <v>42</v>
      </c>
      <c r="D45" s="7">
        <v>1269.9696137599999</v>
      </c>
      <c r="E45" s="2" t="s">
        <v>152</v>
      </c>
      <c r="F45" s="6">
        <v>2002</v>
      </c>
      <c r="G45" s="6">
        <v>5</v>
      </c>
      <c r="H45" s="7">
        <v>30</v>
      </c>
      <c r="I45" s="6">
        <v>5</v>
      </c>
      <c r="J45" s="6">
        <v>2</v>
      </c>
      <c r="K45" s="6">
        <v>1</v>
      </c>
      <c r="L45" s="6">
        <v>15</v>
      </c>
      <c r="M45" s="6">
        <v>13986</v>
      </c>
      <c r="N45" s="6">
        <v>279720</v>
      </c>
      <c r="O45" s="6">
        <v>9</v>
      </c>
      <c r="P45" s="7">
        <v>94.669039999999995</v>
      </c>
      <c r="Q45" s="7">
        <v>398.42259999999999</v>
      </c>
      <c r="R45" s="9">
        <f>D45*VLOOKUP(1001,적!$A$4:$D$13,3,FALSE)</f>
        <v>2539.9392275199998</v>
      </c>
      <c r="S45" s="9">
        <f>D45*VLOOKUP(F45,보스!$A$4:$E$5,4,FALSE)</f>
        <v>91437.812190719997</v>
      </c>
    </row>
    <row r="46" spans="1:19" ht="21.95" customHeight="1">
      <c r="A46" s="6">
        <v>5043</v>
      </c>
      <c r="B46" s="2" t="s">
        <v>194</v>
      </c>
      <c r="C46" s="6">
        <v>43</v>
      </c>
      <c r="D46" s="7">
        <v>1311.6556312</v>
      </c>
      <c r="E46" s="2" t="s">
        <v>152</v>
      </c>
      <c r="F46" s="6">
        <v>2001</v>
      </c>
      <c r="G46" s="6">
        <v>5</v>
      </c>
      <c r="H46" s="7">
        <v>30</v>
      </c>
      <c r="I46" s="6">
        <v>5</v>
      </c>
      <c r="J46" s="6">
        <v>2</v>
      </c>
      <c r="K46" s="6">
        <v>1</v>
      </c>
      <c r="L46" s="6">
        <v>15</v>
      </c>
      <c r="M46" s="6">
        <v>13474</v>
      </c>
      <c r="N46" s="6">
        <v>269480</v>
      </c>
      <c r="O46" s="6">
        <v>9</v>
      </c>
      <c r="P46" s="7">
        <v>97.470920000000007</v>
      </c>
      <c r="Q46" s="7">
        <v>410.20530000000002</v>
      </c>
      <c r="R46" s="9">
        <f>D46*VLOOKUP(1001,적!$A$4:$D$13,3,FALSE)</f>
        <v>2623.3112624</v>
      </c>
      <c r="S46" s="9">
        <f>D46*VLOOKUP(F46,보스!$A$4:$E$5,4,FALSE)</f>
        <v>94439.205446399996</v>
      </c>
    </row>
    <row r="47" spans="1:19" ht="21.95" customHeight="1">
      <c r="A47" s="6">
        <v>5044</v>
      </c>
      <c r="B47" s="2" t="s">
        <v>195</v>
      </c>
      <c r="C47" s="6">
        <v>44</v>
      </c>
      <c r="D47" s="7">
        <v>1353.88270392</v>
      </c>
      <c r="E47" s="2" t="s">
        <v>152</v>
      </c>
      <c r="F47" s="6">
        <v>2002</v>
      </c>
      <c r="G47" s="6">
        <v>5</v>
      </c>
      <c r="H47" s="7">
        <v>30</v>
      </c>
      <c r="I47" s="6">
        <v>5</v>
      </c>
      <c r="J47" s="6">
        <v>2</v>
      </c>
      <c r="K47" s="6">
        <v>1</v>
      </c>
      <c r="L47" s="6">
        <v>15</v>
      </c>
      <c r="M47" s="6">
        <v>15004</v>
      </c>
      <c r="N47" s="6">
        <v>300080</v>
      </c>
      <c r="O47" s="6">
        <v>9</v>
      </c>
      <c r="P47" s="7">
        <v>100.29743999999999</v>
      </c>
      <c r="Q47" s="7">
        <v>422.09160000000003</v>
      </c>
      <c r="R47" s="9">
        <f>D47*VLOOKUP(1001,적!$A$4:$D$13,3,FALSE)</f>
        <v>2707.7654078400001</v>
      </c>
      <c r="S47" s="9">
        <f>D47*VLOOKUP(F47,보스!$A$4:$E$5,4,FALSE)</f>
        <v>97479.554682240007</v>
      </c>
    </row>
    <row r="48" spans="1:19" ht="21.95" customHeight="1">
      <c r="A48" s="6">
        <v>5045</v>
      </c>
      <c r="B48" s="2" t="s">
        <v>196</v>
      </c>
      <c r="C48" s="6">
        <v>45</v>
      </c>
      <c r="D48" s="7">
        <v>1396.6523648</v>
      </c>
      <c r="E48" s="2" t="s">
        <v>152</v>
      </c>
      <c r="F48" s="6">
        <v>2001</v>
      </c>
      <c r="G48" s="6">
        <v>5</v>
      </c>
      <c r="H48" s="7">
        <v>30</v>
      </c>
      <c r="I48" s="6">
        <v>5</v>
      </c>
      <c r="J48" s="6">
        <v>2</v>
      </c>
      <c r="K48" s="6">
        <v>1</v>
      </c>
      <c r="L48" s="6">
        <v>15</v>
      </c>
      <c r="M48" s="6">
        <v>14398</v>
      </c>
      <c r="N48" s="6">
        <v>287960</v>
      </c>
      <c r="O48" s="6">
        <v>9</v>
      </c>
      <c r="P48" s="7">
        <v>103.1486</v>
      </c>
      <c r="Q48" s="7">
        <v>434.08150000000001</v>
      </c>
      <c r="R48" s="9">
        <f>D48*VLOOKUP(1001,적!$A$4:$D$13,3,FALSE)</f>
        <v>2793.3047296</v>
      </c>
      <c r="S48" s="9">
        <f>D48*VLOOKUP(F48,보스!$A$4:$E$5,4,FALSE)</f>
        <v>100558.9702656</v>
      </c>
    </row>
    <row r="49" spans="1:19" ht="21.95" customHeight="1">
      <c r="A49" s="6">
        <v>5046</v>
      </c>
      <c r="B49" s="2" t="s">
        <v>197</v>
      </c>
      <c r="C49" s="6">
        <v>46</v>
      </c>
      <c r="D49" s="7">
        <v>1439.9661639999999</v>
      </c>
      <c r="E49" s="2" t="s">
        <v>152</v>
      </c>
      <c r="F49" s="6">
        <v>2002</v>
      </c>
      <c r="G49" s="6">
        <v>5</v>
      </c>
      <c r="H49" s="7">
        <v>30</v>
      </c>
      <c r="I49" s="6">
        <v>5</v>
      </c>
      <c r="J49" s="6">
        <v>2</v>
      </c>
      <c r="K49" s="6">
        <v>1</v>
      </c>
      <c r="L49" s="6">
        <v>15</v>
      </c>
      <c r="M49" s="6">
        <v>16035</v>
      </c>
      <c r="N49" s="6">
        <v>320700</v>
      </c>
      <c r="O49" s="6">
        <v>9</v>
      </c>
      <c r="P49" s="7">
        <v>106.0244</v>
      </c>
      <c r="Q49" s="7">
        <v>446.17500000000001</v>
      </c>
      <c r="R49" s="9">
        <f>D49*VLOOKUP(1001,적!$A$4:$D$13,3,FALSE)</f>
        <v>2879.9323279999999</v>
      </c>
      <c r="S49" s="9">
        <f>D49*VLOOKUP(F49,보스!$A$4:$E$5,4,FALSE)</f>
        <v>103677.56380799999</v>
      </c>
    </row>
    <row r="50" spans="1:19" ht="21.95" customHeight="1">
      <c r="A50" s="6">
        <v>5047</v>
      </c>
      <c r="B50" s="2" t="s">
        <v>198</v>
      </c>
      <c r="C50" s="6">
        <v>47</v>
      </c>
      <c r="D50" s="7">
        <v>1483.82566896</v>
      </c>
      <c r="E50" s="2" t="s">
        <v>152</v>
      </c>
      <c r="F50" s="6">
        <v>2001</v>
      </c>
      <c r="G50" s="6">
        <v>5</v>
      </c>
      <c r="H50" s="7">
        <v>30</v>
      </c>
      <c r="I50" s="6">
        <v>5</v>
      </c>
      <c r="J50" s="6">
        <v>2</v>
      </c>
      <c r="K50" s="6">
        <v>1</v>
      </c>
      <c r="L50" s="6">
        <v>15</v>
      </c>
      <c r="M50" s="6">
        <v>15331</v>
      </c>
      <c r="N50" s="6">
        <v>306620</v>
      </c>
      <c r="O50" s="6">
        <v>9</v>
      </c>
      <c r="P50" s="7">
        <v>108.92484</v>
      </c>
      <c r="Q50" s="7">
        <v>458.37209999999999</v>
      </c>
      <c r="R50" s="9">
        <f>D50*VLOOKUP(1001,적!$A$4:$D$13,3,FALSE)</f>
        <v>2967.6513379200001</v>
      </c>
      <c r="S50" s="9">
        <f>D50*VLOOKUP(F50,보스!$A$4:$E$5,4,FALSE)</f>
        <v>106835.44816512</v>
      </c>
    </row>
    <row r="51" spans="1:19" ht="21.95" customHeight="1">
      <c r="A51" s="6">
        <v>5048</v>
      </c>
      <c r="B51" s="2" t="s">
        <v>199</v>
      </c>
      <c r="C51" s="6">
        <v>48</v>
      </c>
      <c r="D51" s="7">
        <v>1528.2324644</v>
      </c>
      <c r="E51" s="2" t="s">
        <v>152</v>
      </c>
      <c r="F51" s="6">
        <v>2002</v>
      </c>
      <c r="G51" s="6">
        <v>5</v>
      </c>
      <c r="H51" s="7">
        <v>30</v>
      </c>
      <c r="I51" s="6">
        <v>5</v>
      </c>
      <c r="J51" s="6">
        <v>2</v>
      </c>
      <c r="K51" s="6">
        <v>1</v>
      </c>
      <c r="L51" s="6">
        <v>15</v>
      </c>
      <c r="M51" s="6">
        <v>17077</v>
      </c>
      <c r="N51" s="6">
        <v>341540</v>
      </c>
      <c r="O51" s="6">
        <v>9</v>
      </c>
      <c r="P51" s="7">
        <v>111.84992</v>
      </c>
      <c r="Q51" s="7">
        <v>470.6728</v>
      </c>
      <c r="R51" s="9">
        <f>D51*VLOOKUP(1001,적!$A$4:$D$13,3,FALSE)</f>
        <v>3056.4649288000001</v>
      </c>
      <c r="S51" s="9">
        <f>D51*VLOOKUP(F51,보스!$A$4:$E$5,4,FALSE)</f>
        <v>110032.7374368</v>
      </c>
    </row>
    <row r="52" spans="1:19" ht="21.95" customHeight="1">
      <c r="A52" s="6">
        <v>5049</v>
      </c>
      <c r="B52" s="2" t="s">
        <v>200</v>
      </c>
      <c r="C52" s="6">
        <v>49</v>
      </c>
      <c r="D52" s="7">
        <v>1573.18815232</v>
      </c>
      <c r="E52" s="2" t="s">
        <v>152</v>
      </c>
      <c r="F52" s="6">
        <v>2001</v>
      </c>
      <c r="G52" s="6">
        <v>5</v>
      </c>
      <c r="H52" s="7">
        <v>30</v>
      </c>
      <c r="I52" s="6">
        <v>5</v>
      </c>
      <c r="J52" s="6">
        <v>2</v>
      </c>
      <c r="K52" s="6">
        <v>1</v>
      </c>
      <c r="L52" s="6">
        <v>15</v>
      </c>
      <c r="M52" s="6">
        <v>16271</v>
      </c>
      <c r="N52" s="6">
        <v>325420</v>
      </c>
      <c r="O52" s="6">
        <v>9</v>
      </c>
      <c r="P52" s="7">
        <v>114.79964</v>
      </c>
      <c r="Q52" s="7">
        <v>483.07709999999997</v>
      </c>
      <c r="R52" s="9">
        <f>D52*VLOOKUP(1001,적!$A$4:$D$13,3,FALSE)</f>
        <v>3146.3763046399999</v>
      </c>
      <c r="S52" s="9">
        <f>D52*VLOOKUP(F52,보스!$A$4:$E$5,4,FALSE)</f>
        <v>113269.54696703999</v>
      </c>
    </row>
    <row r="53" spans="1:19" ht="21.95" customHeight="1">
      <c r="A53" s="6">
        <v>5050</v>
      </c>
      <c r="B53" s="2" t="s">
        <v>201</v>
      </c>
      <c r="C53" s="6">
        <v>50</v>
      </c>
      <c r="D53" s="7">
        <v>1618.694352</v>
      </c>
      <c r="E53" s="2" t="s">
        <v>152</v>
      </c>
      <c r="F53" s="6">
        <v>2002</v>
      </c>
      <c r="G53" s="6">
        <v>5</v>
      </c>
      <c r="H53" s="7">
        <v>30</v>
      </c>
      <c r="I53" s="6">
        <v>5</v>
      </c>
      <c r="J53" s="6">
        <v>2</v>
      </c>
      <c r="K53" s="6">
        <v>1</v>
      </c>
      <c r="L53" s="6">
        <v>15</v>
      </c>
      <c r="M53" s="6">
        <v>18132</v>
      </c>
      <c r="N53" s="6">
        <v>362640</v>
      </c>
      <c r="O53" s="6">
        <v>10</v>
      </c>
      <c r="P53" s="7">
        <v>117.774</v>
      </c>
      <c r="Q53" s="7">
        <v>495.58499999999998</v>
      </c>
      <c r="R53" s="9">
        <f>D53*VLOOKUP(1001,적!$A$4:$D$13,3,FALSE)</f>
        <v>3237.388704</v>
      </c>
      <c r="S53" s="9">
        <f>D53*VLOOKUP(F53,보스!$A$4:$E$5,4,FALSE)</f>
        <v>116545.993344</v>
      </c>
    </row>
    <row r="54" spans="1:19" ht="21.95" customHeight="1">
      <c r="A54" s="6">
        <v>5051</v>
      </c>
      <c r="B54" s="2" t="s">
        <v>202</v>
      </c>
      <c r="C54" s="6">
        <v>51</v>
      </c>
      <c r="D54" s="7">
        <v>1664.7527</v>
      </c>
      <c r="E54" s="2" t="s">
        <v>152</v>
      </c>
      <c r="F54" s="6">
        <v>2001</v>
      </c>
      <c r="G54" s="6">
        <v>5</v>
      </c>
      <c r="H54" s="7">
        <v>30</v>
      </c>
      <c r="I54" s="6">
        <v>5</v>
      </c>
      <c r="J54" s="6">
        <v>2</v>
      </c>
      <c r="K54" s="6">
        <v>1</v>
      </c>
      <c r="L54" s="6">
        <v>15</v>
      </c>
      <c r="M54" s="6">
        <v>17218</v>
      </c>
      <c r="N54" s="6">
        <v>344360</v>
      </c>
      <c r="O54" s="6">
        <v>10</v>
      </c>
      <c r="P54" s="7">
        <v>120.773</v>
      </c>
      <c r="Q54" s="7">
        <v>508.19650000000001</v>
      </c>
      <c r="R54" s="9">
        <f>D54*VLOOKUP(1001,적!$A$4:$D$13,3,FALSE)</f>
        <v>3329.5054</v>
      </c>
      <c r="S54" s="9">
        <f>D54*VLOOKUP(F54,보스!$A$4:$E$5,4,FALSE)</f>
        <v>119862.19440000001</v>
      </c>
    </row>
    <row r="55" spans="1:19" ht="21.95" customHeight="1">
      <c r="A55" s="6">
        <v>5052</v>
      </c>
      <c r="B55" s="2" t="s">
        <v>203</v>
      </c>
      <c r="C55" s="6">
        <v>52</v>
      </c>
      <c r="D55" s="7">
        <v>1711.3648501600001</v>
      </c>
      <c r="E55" s="2" t="s">
        <v>152</v>
      </c>
      <c r="F55" s="6">
        <v>2002</v>
      </c>
      <c r="G55" s="6">
        <v>5</v>
      </c>
      <c r="H55" s="7">
        <v>30</v>
      </c>
      <c r="I55" s="6">
        <v>5</v>
      </c>
      <c r="J55" s="6">
        <v>2</v>
      </c>
      <c r="K55" s="6">
        <v>1</v>
      </c>
      <c r="L55" s="6">
        <v>15</v>
      </c>
      <c r="M55" s="6">
        <v>19197</v>
      </c>
      <c r="N55" s="6">
        <v>383940</v>
      </c>
      <c r="O55" s="6">
        <v>10</v>
      </c>
      <c r="P55" s="7">
        <v>123.79664</v>
      </c>
      <c r="Q55" s="7">
        <v>520.91160000000002</v>
      </c>
      <c r="R55" s="9">
        <f>D55*VLOOKUP(1001,적!$A$4:$D$13,3,FALSE)</f>
        <v>3422.7297003200001</v>
      </c>
      <c r="S55" s="9">
        <f>D55*VLOOKUP(F55,보스!$A$4:$E$5,4,FALSE)</f>
        <v>123218.26921152</v>
      </c>
    </row>
    <row r="56" spans="1:19" ht="21.95" customHeight="1">
      <c r="A56" s="6">
        <v>5053</v>
      </c>
      <c r="B56" s="2" t="s">
        <v>204</v>
      </c>
      <c r="C56" s="6">
        <v>53</v>
      </c>
      <c r="D56" s="7">
        <v>1758.5324736</v>
      </c>
      <c r="E56" s="2" t="s">
        <v>152</v>
      </c>
      <c r="F56" s="6">
        <v>2001</v>
      </c>
      <c r="G56" s="6">
        <v>5</v>
      </c>
      <c r="H56" s="7">
        <v>30</v>
      </c>
      <c r="I56" s="6">
        <v>5</v>
      </c>
      <c r="J56" s="6">
        <v>2</v>
      </c>
      <c r="K56" s="6">
        <v>1</v>
      </c>
      <c r="L56" s="6">
        <v>15</v>
      </c>
      <c r="M56" s="6">
        <v>18171</v>
      </c>
      <c r="N56" s="6">
        <v>363420</v>
      </c>
      <c r="O56" s="6">
        <v>10</v>
      </c>
      <c r="P56" s="7">
        <v>126.84492</v>
      </c>
      <c r="Q56" s="7">
        <v>533.73030000000006</v>
      </c>
      <c r="R56" s="9">
        <f>D56*VLOOKUP(1001,적!$A$4:$D$13,3,FALSE)</f>
        <v>3517.0649472</v>
      </c>
      <c r="S56" s="9">
        <f>D56*VLOOKUP(F56,보스!$A$4:$E$5,4,FALSE)</f>
        <v>126614.3380992</v>
      </c>
    </row>
    <row r="57" spans="1:19" ht="21.95" customHeight="1">
      <c r="A57" s="6">
        <v>5054</v>
      </c>
      <c r="B57" s="2" t="s">
        <v>205</v>
      </c>
      <c r="C57" s="6">
        <v>54</v>
      </c>
      <c r="D57" s="7">
        <v>1806.25725872</v>
      </c>
      <c r="E57" s="2" t="s">
        <v>152</v>
      </c>
      <c r="F57" s="6">
        <v>2002</v>
      </c>
      <c r="G57" s="6">
        <v>5</v>
      </c>
      <c r="H57" s="7">
        <v>30</v>
      </c>
      <c r="I57" s="6">
        <v>5</v>
      </c>
      <c r="J57" s="6">
        <v>2</v>
      </c>
      <c r="K57" s="6">
        <v>1</v>
      </c>
      <c r="L57" s="6">
        <v>15</v>
      </c>
      <c r="M57" s="6">
        <v>20273</v>
      </c>
      <c r="N57" s="6">
        <v>405460</v>
      </c>
      <c r="O57" s="6">
        <v>10</v>
      </c>
      <c r="P57" s="7">
        <v>129.91784000000001</v>
      </c>
      <c r="Q57" s="7">
        <v>546.65260000000001</v>
      </c>
      <c r="R57" s="9">
        <f>D57*VLOOKUP(1001,적!$A$4:$D$13,3,FALSE)</f>
        <v>3612.51451744</v>
      </c>
      <c r="S57" s="9">
        <f>D57*VLOOKUP(F57,보스!$A$4:$E$5,4,FALSE)</f>
        <v>130050.52262783999</v>
      </c>
    </row>
    <row r="58" spans="1:19" ht="21.95" customHeight="1">
      <c r="A58" s="6">
        <v>5055</v>
      </c>
      <c r="B58" s="2" t="s">
        <v>206</v>
      </c>
      <c r="C58" s="6">
        <v>55</v>
      </c>
      <c r="D58" s="7">
        <v>1854.5409112</v>
      </c>
      <c r="E58" s="2" t="s">
        <v>152</v>
      </c>
      <c r="F58" s="6">
        <v>2001</v>
      </c>
      <c r="G58" s="6">
        <v>5</v>
      </c>
      <c r="H58" s="7">
        <v>30</v>
      </c>
      <c r="I58" s="6">
        <v>5</v>
      </c>
      <c r="J58" s="6">
        <v>2</v>
      </c>
      <c r="K58" s="6">
        <v>1</v>
      </c>
      <c r="L58" s="6">
        <v>15</v>
      </c>
      <c r="M58" s="6">
        <v>19130</v>
      </c>
      <c r="N58" s="6">
        <v>382600</v>
      </c>
      <c r="O58" s="6">
        <v>10</v>
      </c>
      <c r="P58" s="7">
        <v>133.0154</v>
      </c>
      <c r="Q58" s="7">
        <v>559.67849999999999</v>
      </c>
      <c r="R58" s="9">
        <f>D58*VLOOKUP(1001,적!$A$4:$D$13,3,FALSE)</f>
        <v>3709.0818224</v>
      </c>
      <c r="S58" s="9">
        <f>D58*VLOOKUP(F58,보스!$A$4:$E$5,4,FALSE)</f>
        <v>133526.9456064</v>
      </c>
    </row>
    <row r="59" spans="1:19" ht="21.95" customHeight="1">
      <c r="A59" s="6">
        <v>5056</v>
      </c>
      <c r="B59" s="2" t="s">
        <v>207</v>
      </c>
      <c r="C59" s="6">
        <v>56</v>
      </c>
      <c r="D59" s="7">
        <v>1903.3851540000001</v>
      </c>
      <c r="E59" s="2" t="s">
        <v>152</v>
      </c>
      <c r="F59" s="6">
        <v>2002</v>
      </c>
      <c r="G59" s="6">
        <v>5</v>
      </c>
      <c r="H59" s="7">
        <v>30</v>
      </c>
      <c r="I59" s="6">
        <v>5</v>
      </c>
      <c r="J59" s="6">
        <v>2</v>
      </c>
      <c r="K59" s="6">
        <v>1</v>
      </c>
      <c r="L59" s="6">
        <v>15</v>
      </c>
      <c r="M59" s="6">
        <v>21359</v>
      </c>
      <c r="N59" s="6">
        <v>427180</v>
      </c>
      <c r="O59" s="6">
        <v>10</v>
      </c>
      <c r="P59" s="7">
        <v>136.13759999999999</v>
      </c>
      <c r="Q59" s="7">
        <v>572.80799999999999</v>
      </c>
      <c r="R59" s="9">
        <f>D59*VLOOKUP(1001,적!$A$4:$D$13,3,FALSE)</f>
        <v>3806.7703080000001</v>
      </c>
      <c r="S59" s="9">
        <f>D59*VLOOKUP(F59,보스!$A$4:$E$5,4,FALSE)</f>
        <v>137043.731088</v>
      </c>
    </row>
    <row r="60" spans="1:19" ht="21.95" customHeight="1">
      <c r="A60" s="6">
        <v>5057</v>
      </c>
      <c r="B60" s="2" t="s">
        <v>208</v>
      </c>
      <c r="C60" s="6">
        <v>57</v>
      </c>
      <c r="D60" s="7">
        <v>1952.7917273600001</v>
      </c>
      <c r="E60" s="2" t="s">
        <v>152</v>
      </c>
      <c r="F60" s="6">
        <v>2001</v>
      </c>
      <c r="G60" s="6">
        <v>5</v>
      </c>
      <c r="H60" s="7">
        <v>30</v>
      </c>
      <c r="I60" s="6">
        <v>5</v>
      </c>
      <c r="J60" s="6">
        <v>2</v>
      </c>
      <c r="K60" s="6">
        <v>1</v>
      </c>
      <c r="L60" s="6">
        <v>15</v>
      </c>
      <c r="M60" s="6">
        <v>20095</v>
      </c>
      <c r="N60" s="6">
        <v>401900</v>
      </c>
      <c r="O60" s="6">
        <v>10</v>
      </c>
      <c r="P60" s="7">
        <v>139.28443999999999</v>
      </c>
      <c r="Q60" s="7">
        <v>586.04110000000003</v>
      </c>
      <c r="R60" s="9">
        <f>D60*VLOOKUP(1001,적!$A$4:$D$13,3,FALSE)</f>
        <v>3905.5834547200002</v>
      </c>
      <c r="S60" s="9">
        <f>D60*VLOOKUP(F60,보스!$A$4:$E$5,4,FALSE)</f>
        <v>140601.00436992</v>
      </c>
    </row>
    <row r="61" spans="1:19" ht="21.95" customHeight="1">
      <c r="A61" s="6">
        <v>5058</v>
      </c>
      <c r="B61" s="2" t="s">
        <v>209</v>
      </c>
      <c r="C61" s="6">
        <v>58</v>
      </c>
      <c r="D61" s="7">
        <v>2002.7623888000001</v>
      </c>
      <c r="E61" s="2" t="s">
        <v>152</v>
      </c>
      <c r="F61" s="6">
        <v>2002</v>
      </c>
      <c r="G61" s="6">
        <v>5</v>
      </c>
      <c r="H61" s="7">
        <v>30</v>
      </c>
      <c r="I61" s="6">
        <v>5</v>
      </c>
      <c r="J61" s="6">
        <v>2</v>
      </c>
      <c r="K61" s="6">
        <v>1</v>
      </c>
      <c r="L61" s="6">
        <v>15</v>
      </c>
      <c r="M61" s="6">
        <v>22455</v>
      </c>
      <c r="N61" s="6">
        <v>449100</v>
      </c>
      <c r="O61" s="6">
        <v>10</v>
      </c>
      <c r="P61" s="7">
        <v>142.45591999999999</v>
      </c>
      <c r="Q61" s="7">
        <v>599.37779999999998</v>
      </c>
      <c r="R61" s="9">
        <f>D61*VLOOKUP(1001,적!$A$4:$D$13,3,FALSE)</f>
        <v>4005.5247776000001</v>
      </c>
      <c r="S61" s="9">
        <f>D61*VLOOKUP(F61,보스!$A$4:$E$5,4,FALSE)</f>
        <v>144198.8919936</v>
      </c>
    </row>
    <row r="62" spans="1:19" ht="21.95" customHeight="1">
      <c r="A62" s="6">
        <v>5059</v>
      </c>
      <c r="B62" s="2" t="s">
        <v>210</v>
      </c>
      <c r="C62" s="6">
        <v>59</v>
      </c>
      <c r="D62" s="7">
        <v>2053.2989131200002</v>
      </c>
      <c r="E62" s="2" t="s">
        <v>152</v>
      </c>
      <c r="F62" s="6">
        <v>2001</v>
      </c>
      <c r="G62" s="6">
        <v>5</v>
      </c>
      <c r="H62" s="7">
        <v>30</v>
      </c>
      <c r="I62" s="6">
        <v>5</v>
      </c>
      <c r="J62" s="6">
        <v>2</v>
      </c>
      <c r="K62" s="6">
        <v>1</v>
      </c>
      <c r="L62" s="6">
        <v>15</v>
      </c>
      <c r="M62" s="6">
        <v>21065</v>
      </c>
      <c r="N62" s="6">
        <v>421300</v>
      </c>
      <c r="O62" s="6">
        <v>10</v>
      </c>
      <c r="P62" s="7">
        <v>145.65204</v>
      </c>
      <c r="Q62" s="7">
        <v>612.81809999999996</v>
      </c>
      <c r="R62" s="9">
        <f>D62*VLOOKUP(1001,적!$A$4:$D$13,3,FALSE)</f>
        <v>4106.5978262400004</v>
      </c>
      <c r="S62" s="9">
        <f>D62*VLOOKUP(F62,보스!$A$4:$E$5,4,FALSE)</f>
        <v>147837.52174464002</v>
      </c>
    </row>
    <row r="63" spans="1:19" ht="21.95" customHeight="1">
      <c r="A63" s="6">
        <v>5060</v>
      </c>
      <c r="B63" s="2" t="s">
        <v>211</v>
      </c>
      <c r="C63" s="6">
        <v>60</v>
      </c>
      <c r="D63" s="7">
        <v>2104.4030923999999</v>
      </c>
      <c r="E63" s="2" t="s">
        <v>152</v>
      </c>
      <c r="F63" s="6">
        <v>2002</v>
      </c>
      <c r="G63" s="6">
        <v>5</v>
      </c>
      <c r="H63" s="7">
        <v>30</v>
      </c>
      <c r="I63" s="6">
        <v>5</v>
      </c>
      <c r="J63" s="6">
        <v>2</v>
      </c>
      <c r="K63" s="6">
        <v>1</v>
      </c>
      <c r="L63" s="6">
        <v>15</v>
      </c>
      <c r="M63" s="6">
        <v>23560</v>
      </c>
      <c r="N63" s="6">
        <v>471200</v>
      </c>
      <c r="O63" s="6">
        <v>11</v>
      </c>
      <c r="P63" s="7">
        <v>148.87280000000001</v>
      </c>
      <c r="Q63" s="7">
        <v>626.36199999999997</v>
      </c>
      <c r="R63" s="9">
        <f>D63*VLOOKUP(1001,적!$A$4:$D$13,3,FALSE)</f>
        <v>4208.8061847999998</v>
      </c>
      <c r="S63" s="9">
        <f>D63*VLOOKUP(F63,보스!$A$4:$E$5,4,FALSE)</f>
        <v>151517.02265279999</v>
      </c>
    </row>
    <row r="64" spans="1:19" ht="21.95" customHeight="1">
      <c r="A64" s="6">
        <v>5061</v>
      </c>
      <c r="B64" s="2" t="s">
        <v>212</v>
      </c>
      <c r="C64" s="6">
        <v>61</v>
      </c>
      <c r="D64" s="7">
        <v>2156.076736</v>
      </c>
      <c r="E64" s="2" t="s">
        <v>152</v>
      </c>
      <c r="F64" s="6">
        <v>2001</v>
      </c>
      <c r="G64" s="6">
        <v>5</v>
      </c>
      <c r="H64" s="7">
        <v>30</v>
      </c>
      <c r="I64" s="6">
        <v>5</v>
      </c>
      <c r="J64" s="6">
        <v>2</v>
      </c>
      <c r="K64" s="6">
        <v>1</v>
      </c>
      <c r="L64" s="6">
        <v>15</v>
      </c>
      <c r="M64" s="6">
        <v>22040</v>
      </c>
      <c r="N64" s="6">
        <v>440800</v>
      </c>
      <c r="O64" s="6">
        <v>11</v>
      </c>
      <c r="P64" s="7">
        <v>152.1182</v>
      </c>
      <c r="Q64" s="7">
        <v>640.0095</v>
      </c>
      <c r="R64" s="9">
        <f>D64*VLOOKUP(1001,적!$A$4:$D$13,3,FALSE)</f>
        <v>4312.153472</v>
      </c>
      <c r="S64" s="9">
        <f>D64*VLOOKUP(F64,보스!$A$4:$E$5,4,FALSE)</f>
        <v>155237.52499199999</v>
      </c>
    </row>
    <row r="65" spans="1:19" ht="21.95" customHeight="1">
      <c r="A65" s="6">
        <v>5062</v>
      </c>
      <c r="B65" s="2" t="s">
        <v>213</v>
      </c>
      <c r="C65" s="6">
        <v>62</v>
      </c>
      <c r="D65" s="7">
        <v>2208.3216705599998</v>
      </c>
      <c r="E65" s="2" t="s">
        <v>152</v>
      </c>
      <c r="F65" s="6">
        <v>2002</v>
      </c>
      <c r="G65" s="6">
        <v>5</v>
      </c>
      <c r="H65" s="7">
        <v>30</v>
      </c>
      <c r="I65" s="6">
        <v>5</v>
      </c>
      <c r="J65" s="6">
        <v>2</v>
      </c>
      <c r="K65" s="6">
        <v>1</v>
      </c>
      <c r="L65" s="6">
        <v>15</v>
      </c>
      <c r="M65" s="6">
        <v>24675</v>
      </c>
      <c r="N65" s="6">
        <v>493500</v>
      </c>
      <c r="O65" s="6">
        <v>11</v>
      </c>
      <c r="P65" s="7">
        <v>155.38824</v>
      </c>
      <c r="Q65" s="7">
        <v>653.76059999999995</v>
      </c>
      <c r="R65" s="9">
        <f>D65*VLOOKUP(1001,적!$A$4:$D$13,3,FALSE)</f>
        <v>4416.6433411199996</v>
      </c>
      <c r="S65" s="9">
        <f>D65*VLOOKUP(F65,보스!$A$4:$E$5,4,FALSE)</f>
        <v>158999.16028031998</v>
      </c>
    </row>
    <row r="66" spans="1:19" ht="21.95" customHeight="1">
      <c r="A66" s="6">
        <v>5063</v>
      </c>
      <c r="B66" s="2" t="s">
        <v>214</v>
      </c>
      <c r="C66" s="6">
        <v>63</v>
      </c>
      <c r="D66" s="7">
        <v>2261.1397400000001</v>
      </c>
      <c r="E66" s="2" t="s">
        <v>152</v>
      </c>
      <c r="F66" s="6">
        <v>2001</v>
      </c>
      <c r="G66" s="6">
        <v>5</v>
      </c>
      <c r="H66" s="7">
        <v>30</v>
      </c>
      <c r="I66" s="6">
        <v>5</v>
      </c>
      <c r="J66" s="6">
        <v>2</v>
      </c>
      <c r="K66" s="6">
        <v>1</v>
      </c>
      <c r="L66" s="6">
        <v>15</v>
      </c>
      <c r="M66" s="6">
        <v>23020</v>
      </c>
      <c r="N66" s="6">
        <v>460400</v>
      </c>
      <c r="O66" s="6">
        <v>11</v>
      </c>
      <c r="P66" s="7">
        <v>158.68292</v>
      </c>
      <c r="Q66" s="7">
        <v>667.61530000000005</v>
      </c>
      <c r="R66" s="9">
        <f>D66*VLOOKUP(1001,적!$A$4:$D$13,3,FALSE)</f>
        <v>4522.2794800000001</v>
      </c>
      <c r="S66" s="9">
        <f>D66*VLOOKUP(F66,보스!$A$4:$E$5,4,FALSE)</f>
        <v>162802.06127999999</v>
      </c>
    </row>
    <row r="67" spans="1:19" ht="21.95" customHeight="1">
      <c r="A67" s="6">
        <v>5064</v>
      </c>
      <c r="B67" s="2" t="s">
        <v>215</v>
      </c>
      <c r="C67" s="6">
        <v>64</v>
      </c>
      <c r="D67" s="7">
        <v>2314.5328055199998</v>
      </c>
      <c r="E67" s="2" t="s">
        <v>152</v>
      </c>
      <c r="F67" s="6">
        <v>2002</v>
      </c>
      <c r="G67" s="6">
        <v>5</v>
      </c>
      <c r="H67" s="7">
        <v>30</v>
      </c>
      <c r="I67" s="6">
        <v>5</v>
      </c>
      <c r="J67" s="6">
        <v>2</v>
      </c>
      <c r="K67" s="6">
        <v>1</v>
      </c>
      <c r="L67" s="6">
        <v>15</v>
      </c>
      <c r="M67" s="6">
        <v>25799</v>
      </c>
      <c r="N67" s="6">
        <v>515980</v>
      </c>
      <c r="O67" s="6">
        <v>11</v>
      </c>
      <c r="P67" s="7">
        <v>162.00224</v>
      </c>
      <c r="Q67" s="7">
        <v>681.57360000000006</v>
      </c>
      <c r="R67" s="9">
        <f>D67*VLOOKUP(1001,적!$A$4:$D$13,3,FALSE)</f>
        <v>4629.0656110399996</v>
      </c>
      <c r="S67" s="9">
        <f>D67*VLOOKUP(F67,보스!$A$4:$E$5,4,FALSE)</f>
        <v>166646.36199743999</v>
      </c>
    </row>
    <row r="68" spans="1:19" ht="21.95" customHeight="1">
      <c r="A68" s="6">
        <v>5065</v>
      </c>
      <c r="B68" s="2" t="s">
        <v>216</v>
      </c>
      <c r="C68" s="6">
        <v>65</v>
      </c>
      <c r="D68" s="7">
        <v>2368.5027455999998</v>
      </c>
      <c r="E68" s="2" t="s">
        <v>152</v>
      </c>
      <c r="F68" s="6">
        <v>2001</v>
      </c>
      <c r="G68" s="6">
        <v>5</v>
      </c>
      <c r="H68" s="7">
        <v>30</v>
      </c>
      <c r="I68" s="6">
        <v>5</v>
      </c>
      <c r="J68" s="6">
        <v>2</v>
      </c>
      <c r="K68" s="6">
        <v>1</v>
      </c>
      <c r="L68" s="6">
        <v>15</v>
      </c>
      <c r="M68" s="6">
        <v>24005</v>
      </c>
      <c r="N68" s="6">
        <v>480100</v>
      </c>
      <c r="O68" s="6">
        <v>11</v>
      </c>
      <c r="P68" s="7">
        <v>165.34620000000001</v>
      </c>
      <c r="Q68" s="7">
        <v>695.63549999999998</v>
      </c>
      <c r="R68" s="9">
        <f>D68*VLOOKUP(1001,적!$A$4:$D$13,3,FALSE)</f>
        <v>4737.0054911999996</v>
      </c>
      <c r="S68" s="9">
        <f>D68*VLOOKUP(F68,보스!$A$4:$E$5,4,FALSE)</f>
        <v>170532.19768319998</v>
      </c>
    </row>
    <row r="69" spans="1:19" ht="21.95" customHeight="1">
      <c r="A69" s="6">
        <v>5066</v>
      </c>
      <c r="B69" s="2" t="s">
        <v>217</v>
      </c>
      <c r="C69" s="6">
        <v>66</v>
      </c>
      <c r="D69" s="7">
        <v>2423.0514560000001</v>
      </c>
      <c r="E69" s="2" t="s">
        <v>152</v>
      </c>
      <c r="F69" s="6">
        <v>2002</v>
      </c>
      <c r="G69" s="6">
        <v>5</v>
      </c>
      <c r="H69" s="7">
        <v>30</v>
      </c>
      <c r="I69" s="6">
        <v>5</v>
      </c>
      <c r="J69" s="6">
        <v>2</v>
      </c>
      <c r="K69" s="6">
        <v>1</v>
      </c>
      <c r="L69" s="6">
        <v>15</v>
      </c>
      <c r="M69" s="6">
        <v>26931</v>
      </c>
      <c r="N69" s="6">
        <v>538620</v>
      </c>
      <c r="O69" s="6">
        <v>11</v>
      </c>
      <c r="P69" s="7">
        <v>168.7148</v>
      </c>
      <c r="Q69" s="7">
        <v>709.80100000000004</v>
      </c>
      <c r="R69" s="9">
        <f>D69*VLOOKUP(1001,적!$A$4:$D$13,3,FALSE)</f>
        <v>4846.1029120000003</v>
      </c>
      <c r="S69" s="9">
        <f>D69*VLOOKUP(F69,보스!$A$4:$E$5,4,FALSE)</f>
        <v>174459.70483200002</v>
      </c>
    </row>
    <row r="70" spans="1:19" ht="21.95" customHeight="1">
      <c r="A70" s="6">
        <v>5067</v>
      </c>
      <c r="B70" s="2" t="s">
        <v>218</v>
      </c>
      <c r="C70" s="6">
        <v>67</v>
      </c>
      <c r="D70" s="7">
        <v>2478.18084976</v>
      </c>
      <c r="E70" s="2" t="s">
        <v>152</v>
      </c>
      <c r="F70" s="6">
        <v>2001</v>
      </c>
      <c r="G70" s="6">
        <v>5</v>
      </c>
      <c r="H70" s="7">
        <v>30</v>
      </c>
      <c r="I70" s="6">
        <v>5</v>
      </c>
      <c r="J70" s="6">
        <v>2</v>
      </c>
      <c r="K70" s="6">
        <v>1</v>
      </c>
      <c r="L70" s="6">
        <v>15</v>
      </c>
      <c r="M70" s="6">
        <v>24994</v>
      </c>
      <c r="N70" s="6">
        <v>499880</v>
      </c>
      <c r="O70" s="6">
        <v>11</v>
      </c>
      <c r="P70" s="7">
        <v>172.10803999999999</v>
      </c>
      <c r="Q70" s="7">
        <v>724.07010000000002</v>
      </c>
      <c r="R70" s="9">
        <f>D70*VLOOKUP(1001,적!$A$4:$D$13,3,FALSE)</f>
        <v>4956.36169952</v>
      </c>
      <c r="S70" s="9">
        <f>D70*VLOOKUP(F70,보스!$A$4:$E$5,4,FALSE)</f>
        <v>178429.02118272</v>
      </c>
    </row>
    <row r="71" spans="1:19" ht="21.95" customHeight="1">
      <c r="A71" s="6">
        <v>5068</v>
      </c>
      <c r="B71" s="2" t="s">
        <v>219</v>
      </c>
      <c r="C71" s="6">
        <v>68</v>
      </c>
      <c r="D71" s="7">
        <v>2533.8928572</v>
      </c>
      <c r="E71" s="2" t="s">
        <v>152</v>
      </c>
      <c r="F71" s="6">
        <v>2002</v>
      </c>
      <c r="G71" s="6">
        <v>5</v>
      </c>
      <c r="H71" s="7">
        <v>30</v>
      </c>
      <c r="I71" s="6">
        <v>5</v>
      </c>
      <c r="J71" s="6">
        <v>2</v>
      </c>
      <c r="K71" s="6">
        <v>1</v>
      </c>
      <c r="L71" s="6">
        <v>15</v>
      </c>
      <c r="M71" s="6">
        <v>28073</v>
      </c>
      <c r="N71" s="6">
        <v>561460</v>
      </c>
      <c r="O71" s="6">
        <v>11</v>
      </c>
      <c r="P71" s="7">
        <v>175.52592000000001</v>
      </c>
      <c r="Q71" s="7">
        <v>738.44280000000003</v>
      </c>
      <c r="R71" s="9">
        <f>D71*VLOOKUP(1001,적!$A$4:$D$13,3,FALSE)</f>
        <v>5067.7857144</v>
      </c>
      <c r="S71" s="9">
        <f>D71*VLOOKUP(F71,보스!$A$4:$E$5,4,FALSE)</f>
        <v>182440.2857184</v>
      </c>
    </row>
    <row r="72" spans="1:19" ht="21.95" customHeight="1">
      <c r="A72" s="6">
        <v>5069</v>
      </c>
      <c r="B72" s="2" t="s">
        <v>220</v>
      </c>
      <c r="C72" s="6">
        <v>69</v>
      </c>
      <c r="D72" s="7">
        <v>2590.1894259199998</v>
      </c>
      <c r="E72" s="2" t="s">
        <v>152</v>
      </c>
      <c r="F72" s="6">
        <v>2001</v>
      </c>
      <c r="G72" s="6">
        <v>5</v>
      </c>
      <c r="H72" s="7">
        <v>30</v>
      </c>
      <c r="I72" s="6">
        <v>5</v>
      </c>
      <c r="J72" s="6">
        <v>2</v>
      </c>
      <c r="K72" s="6">
        <v>1</v>
      </c>
      <c r="L72" s="6">
        <v>15</v>
      </c>
      <c r="M72" s="6">
        <v>25988</v>
      </c>
      <c r="N72" s="6">
        <v>519760</v>
      </c>
      <c r="O72" s="6">
        <v>11</v>
      </c>
      <c r="P72" s="7">
        <v>178.96843999999999</v>
      </c>
      <c r="Q72" s="7">
        <v>752.91909999999996</v>
      </c>
      <c r="R72" s="9">
        <f>D72*VLOOKUP(1001,적!$A$4:$D$13,3,FALSE)</f>
        <v>5180.3788518399997</v>
      </c>
      <c r="S72" s="9">
        <f>D72*VLOOKUP(F72,보스!$A$4:$E$5,4,FALSE)</f>
        <v>186493.63866623997</v>
      </c>
    </row>
    <row r="73" spans="1:19" ht="21.95" customHeight="1">
      <c r="A73" s="6">
        <v>5070</v>
      </c>
      <c r="B73" s="2" t="s">
        <v>221</v>
      </c>
      <c r="C73" s="6">
        <v>70</v>
      </c>
      <c r="D73" s="7">
        <v>2647.0725207999999</v>
      </c>
      <c r="E73" s="2" t="s">
        <v>152</v>
      </c>
      <c r="F73" s="6">
        <v>2002</v>
      </c>
      <c r="G73" s="6">
        <v>5</v>
      </c>
      <c r="H73" s="7">
        <v>30</v>
      </c>
      <c r="I73" s="6">
        <v>5</v>
      </c>
      <c r="J73" s="6">
        <v>2</v>
      </c>
      <c r="K73" s="6">
        <v>1</v>
      </c>
      <c r="L73" s="6">
        <v>15</v>
      </c>
      <c r="M73" s="6">
        <v>29223</v>
      </c>
      <c r="N73" s="6">
        <v>584460</v>
      </c>
      <c r="O73" s="6">
        <v>12</v>
      </c>
      <c r="P73" s="7">
        <v>182.43559999999999</v>
      </c>
      <c r="Q73" s="7">
        <v>767.49900000000002</v>
      </c>
      <c r="R73" s="9">
        <f>D73*VLOOKUP(1001,적!$A$4:$D$13,3,FALSE)</f>
        <v>5294.1450415999998</v>
      </c>
      <c r="S73" s="9">
        <f>D73*VLOOKUP(F73,보스!$A$4:$E$5,4,FALSE)</f>
        <v>190589.2214976</v>
      </c>
    </row>
    <row r="74" spans="1:19" ht="21.95" customHeight="1">
      <c r="A74" s="6">
        <v>5071</v>
      </c>
      <c r="B74" s="2" t="s">
        <v>222</v>
      </c>
      <c r="C74" s="6">
        <v>71</v>
      </c>
      <c r="D74" s="7">
        <v>2704.544124</v>
      </c>
      <c r="E74" s="2" t="s">
        <v>152</v>
      </c>
      <c r="F74" s="6">
        <v>2001</v>
      </c>
      <c r="G74" s="6">
        <v>5</v>
      </c>
      <c r="H74" s="7">
        <v>30</v>
      </c>
      <c r="I74" s="6">
        <v>5</v>
      </c>
      <c r="J74" s="6">
        <v>2</v>
      </c>
      <c r="K74" s="6">
        <v>1</v>
      </c>
      <c r="L74" s="6">
        <v>15</v>
      </c>
      <c r="M74" s="6">
        <v>26986</v>
      </c>
      <c r="N74" s="6">
        <v>539720</v>
      </c>
      <c r="O74" s="6">
        <v>12</v>
      </c>
      <c r="P74" s="7">
        <v>185.92740000000001</v>
      </c>
      <c r="Q74" s="7">
        <v>782.1825</v>
      </c>
      <c r="R74" s="9">
        <f>D74*VLOOKUP(1001,적!$A$4:$D$13,3,FALSE)</f>
        <v>5409.088248</v>
      </c>
      <c r="S74" s="9">
        <f>D74*VLOOKUP(F74,보스!$A$4:$E$5,4,FALSE)</f>
        <v>194727.176928</v>
      </c>
    </row>
    <row r="75" spans="1:19" ht="21.95" customHeight="1">
      <c r="A75" s="6">
        <v>5072</v>
      </c>
      <c r="B75" s="2" t="s">
        <v>223</v>
      </c>
      <c r="C75" s="6">
        <v>72</v>
      </c>
      <c r="D75" s="7">
        <v>2762.6062349600002</v>
      </c>
      <c r="E75" s="2" t="s">
        <v>152</v>
      </c>
      <c r="F75" s="6">
        <v>2002</v>
      </c>
      <c r="G75" s="6">
        <v>5</v>
      </c>
      <c r="H75" s="7">
        <v>30</v>
      </c>
      <c r="I75" s="6">
        <v>5</v>
      </c>
      <c r="J75" s="6">
        <v>2</v>
      </c>
      <c r="K75" s="6">
        <v>1</v>
      </c>
      <c r="L75" s="6">
        <v>15</v>
      </c>
      <c r="M75" s="6">
        <v>30382</v>
      </c>
      <c r="N75" s="6">
        <v>607640</v>
      </c>
      <c r="O75" s="6">
        <v>12</v>
      </c>
      <c r="P75" s="7">
        <v>189.44383999999999</v>
      </c>
      <c r="Q75" s="7">
        <v>796.96960000000001</v>
      </c>
      <c r="R75" s="9">
        <f>D75*VLOOKUP(1001,적!$A$4:$D$13,3,FALSE)</f>
        <v>5525.2124699200003</v>
      </c>
      <c r="S75" s="9">
        <f>D75*VLOOKUP(F75,보스!$A$4:$E$5,4,FALSE)</f>
        <v>198907.64891712001</v>
      </c>
    </row>
    <row r="76" spans="1:19" ht="21.95" customHeight="1">
      <c r="A76" s="6">
        <v>5073</v>
      </c>
      <c r="B76" s="2" t="s">
        <v>224</v>
      </c>
      <c r="C76" s="6">
        <v>73</v>
      </c>
      <c r="D76" s="7">
        <v>2821.2608703999999</v>
      </c>
      <c r="E76" s="2" t="s">
        <v>152</v>
      </c>
      <c r="F76" s="6">
        <v>2001</v>
      </c>
      <c r="G76" s="6">
        <v>5</v>
      </c>
      <c r="H76" s="7">
        <v>30</v>
      </c>
      <c r="I76" s="6">
        <v>5</v>
      </c>
      <c r="J76" s="6">
        <v>2</v>
      </c>
      <c r="K76" s="6">
        <v>1</v>
      </c>
      <c r="L76" s="6">
        <v>15</v>
      </c>
      <c r="M76" s="6">
        <v>27988</v>
      </c>
      <c r="N76" s="6">
        <v>559760</v>
      </c>
      <c r="O76" s="6">
        <v>12</v>
      </c>
      <c r="P76" s="7">
        <v>192.98491999999999</v>
      </c>
      <c r="Q76" s="7">
        <v>811.86030000000005</v>
      </c>
      <c r="R76" s="9">
        <f>D76*VLOOKUP(1001,적!$A$4:$D$13,3,FALSE)</f>
        <v>5642.5217407999999</v>
      </c>
      <c r="S76" s="9">
        <f>D76*VLOOKUP(F76,보스!$A$4:$E$5,4,FALSE)</f>
        <v>203130.78266880001</v>
      </c>
    </row>
    <row r="77" spans="1:19" ht="21.95" customHeight="1">
      <c r="A77" s="6">
        <v>5074</v>
      </c>
      <c r="B77" s="2" t="s">
        <v>225</v>
      </c>
      <c r="C77" s="6">
        <v>74</v>
      </c>
      <c r="D77" s="7">
        <v>2880.5100643199999</v>
      </c>
      <c r="E77" s="2" t="s">
        <v>152</v>
      </c>
      <c r="F77" s="6">
        <v>2002</v>
      </c>
      <c r="G77" s="6">
        <v>5</v>
      </c>
      <c r="H77" s="7">
        <v>30</v>
      </c>
      <c r="I77" s="6">
        <v>5</v>
      </c>
      <c r="J77" s="6">
        <v>2</v>
      </c>
      <c r="K77" s="6">
        <v>1</v>
      </c>
      <c r="L77" s="6">
        <v>15</v>
      </c>
      <c r="M77" s="6">
        <v>31549</v>
      </c>
      <c r="N77" s="6">
        <v>630980</v>
      </c>
      <c r="O77" s="6">
        <v>12</v>
      </c>
      <c r="P77" s="7">
        <v>196.55063999999999</v>
      </c>
      <c r="Q77" s="7">
        <v>826.8546</v>
      </c>
      <c r="R77" s="9">
        <f>D77*VLOOKUP(1001,적!$A$4:$D$13,3,FALSE)</f>
        <v>5761.0201286399997</v>
      </c>
      <c r="S77" s="9">
        <f>D77*VLOOKUP(F77,보스!$A$4:$E$5,4,FALSE)</f>
        <v>207396.72463103998</v>
      </c>
    </row>
    <row r="78" spans="1:19" ht="21.95" customHeight="1">
      <c r="A78" s="6">
        <v>5075</v>
      </c>
      <c r="B78" s="2" t="s">
        <v>226</v>
      </c>
      <c r="C78" s="6">
        <v>75</v>
      </c>
      <c r="D78" s="7">
        <v>2940.3558680000001</v>
      </c>
      <c r="E78" s="2" t="s">
        <v>152</v>
      </c>
      <c r="F78" s="6">
        <v>2001</v>
      </c>
      <c r="G78" s="6">
        <v>5</v>
      </c>
      <c r="H78" s="7">
        <v>30</v>
      </c>
      <c r="I78" s="6">
        <v>5</v>
      </c>
      <c r="J78" s="6">
        <v>2</v>
      </c>
      <c r="K78" s="6">
        <v>1</v>
      </c>
      <c r="L78" s="6">
        <v>15</v>
      </c>
      <c r="M78" s="6">
        <v>28994</v>
      </c>
      <c r="N78" s="6">
        <v>579880</v>
      </c>
      <c r="O78" s="6">
        <v>12</v>
      </c>
      <c r="P78" s="7">
        <v>200.14099999999999</v>
      </c>
      <c r="Q78" s="7">
        <v>841.95249999999999</v>
      </c>
      <c r="R78" s="9">
        <f>D78*VLOOKUP(1001,적!$A$4:$D$13,3,FALSE)</f>
        <v>5880.7117360000002</v>
      </c>
      <c r="S78" s="9">
        <f>D78*VLOOKUP(F78,보스!$A$4:$E$5,4,FALSE)</f>
        <v>211705.622496</v>
      </c>
    </row>
    <row r="79" spans="1:19" ht="21.95" customHeight="1">
      <c r="A79" s="6">
        <v>5076</v>
      </c>
      <c r="B79" s="2" t="s">
        <v>227</v>
      </c>
      <c r="C79" s="6">
        <v>76</v>
      </c>
      <c r="D79" s="7">
        <v>3000.80035</v>
      </c>
      <c r="E79" s="2" t="s">
        <v>152</v>
      </c>
      <c r="F79" s="6">
        <v>2002</v>
      </c>
      <c r="G79" s="6">
        <v>5</v>
      </c>
      <c r="H79" s="7">
        <v>30</v>
      </c>
      <c r="I79" s="6">
        <v>5</v>
      </c>
      <c r="J79" s="6">
        <v>2</v>
      </c>
      <c r="K79" s="6">
        <v>1</v>
      </c>
      <c r="L79" s="6">
        <v>15</v>
      </c>
      <c r="M79" s="6">
        <v>32724</v>
      </c>
      <c r="N79" s="6">
        <v>654480</v>
      </c>
      <c r="O79" s="6">
        <v>12</v>
      </c>
      <c r="P79" s="7">
        <v>203.756</v>
      </c>
      <c r="Q79" s="7">
        <v>857.154</v>
      </c>
      <c r="R79" s="9">
        <f>D79*VLOOKUP(1001,적!$A$4:$D$13,3,FALSE)</f>
        <v>6001.6007</v>
      </c>
      <c r="S79" s="9">
        <f>D79*VLOOKUP(F79,보스!$A$4:$E$5,4,FALSE)</f>
        <v>216057.62520000001</v>
      </c>
    </row>
    <row r="80" spans="1:19" ht="21.95" customHeight="1">
      <c r="A80" s="6">
        <v>5077</v>
      </c>
      <c r="B80" s="2" t="s">
        <v>228</v>
      </c>
      <c r="C80" s="6">
        <v>77</v>
      </c>
      <c r="D80" s="7">
        <v>3061.8455961599998</v>
      </c>
      <c r="E80" s="2" t="s">
        <v>152</v>
      </c>
      <c r="F80" s="6">
        <v>2001</v>
      </c>
      <c r="G80" s="6">
        <v>5</v>
      </c>
      <c r="H80" s="7">
        <v>30</v>
      </c>
      <c r="I80" s="6">
        <v>5</v>
      </c>
      <c r="J80" s="6">
        <v>2</v>
      </c>
      <c r="K80" s="6">
        <v>1</v>
      </c>
      <c r="L80" s="6">
        <v>15</v>
      </c>
      <c r="M80" s="6">
        <v>30005</v>
      </c>
      <c r="N80" s="6">
        <v>600100</v>
      </c>
      <c r="O80" s="6">
        <v>12</v>
      </c>
      <c r="P80" s="7">
        <v>207.39563999999999</v>
      </c>
      <c r="Q80" s="7">
        <v>872.45910000000003</v>
      </c>
      <c r="R80" s="9">
        <f>D80*VLOOKUP(1001,적!$A$4:$D$13,3,FALSE)</f>
        <v>6123.6911923199996</v>
      </c>
      <c r="S80" s="9">
        <f>D80*VLOOKUP(F80,보스!$A$4:$E$5,4,FALSE)</f>
        <v>220452.88292352</v>
      </c>
    </row>
    <row r="81" spans="1:19" ht="21.95" customHeight="1">
      <c r="A81" s="6">
        <v>5078</v>
      </c>
      <c r="B81" s="2" t="s">
        <v>229</v>
      </c>
      <c r="C81" s="6">
        <v>78</v>
      </c>
      <c r="D81" s="7">
        <v>3123.4937095999999</v>
      </c>
      <c r="E81" s="2" t="s">
        <v>152</v>
      </c>
      <c r="F81" s="6">
        <v>2002</v>
      </c>
      <c r="G81" s="6">
        <v>5</v>
      </c>
      <c r="H81" s="7">
        <v>30</v>
      </c>
      <c r="I81" s="6">
        <v>5</v>
      </c>
      <c r="J81" s="6">
        <v>2</v>
      </c>
      <c r="K81" s="6">
        <v>1</v>
      </c>
      <c r="L81" s="6">
        <v>15</v>
      </c>
      <c r="M81" s="6">
        <v>33908</v>
      </c>
      <c r="N81" s="6">
        <v>678160</v>
      </c>
      <c r="O81" s="6">
        <v>12</v>
      </c>
      <c r="P81" s="7">
        <v>211.05992000000001</v>
      </c>
      <c r="Q81" s="7">
        <v>887.86779999999999</v>
      </c>
      <c r="R81" s="9">
        <f>D81*VLOOKUP(1001,적!$A$4:$D$13,3,FALSE)</f>
        <v>6246.9874191999997</v>
      </c>
      <c r="S81" s="9">
        <f>D81*VLOOKUP(F81,보스!$A$4:$E$5,4,FALSE)</f>
        <v>224891.54709119999</v>
      </c>
    </row>
    <row r="82" spans="1:19" ht="21.95" customHeight="1">
      <c r="A82" s="6">
        <v>5079</v>
      </c>
      <c r="B82" s="2" t="s">
        <v>230</v>
      </c>
      <c r="C82" s="6">
        <v>79</v>
      </c>
      <c r="D82" s="7">
        <v>3185.7468107200002</v>
      </c>
      <c r="E82" s="2" t="s">
        <v>152</v>
      </c>
      <c r="F82" s="6">
        <v>2001</v>
      </c>
      <c r="G82" s="6">
        <v>5</v>
      </c>
      <c r="H82" s="7">
        <v>30</v>
      </c>
      <c r="I82" s="6">
        <v>5</v>
      </c>
      <c r="J82" s="6">
        <v>2</v>
      </c>
      <c r="K82" s="6">
        <v>1</v>
      </c>
      <c r="L82" s="6">
        <v>15</v>
      </c>
      <c r="M82" s="6">
        <v>31019</v>
      </c>
      <c r="N82" s="6">
        <v>620380</v>
      </c>
      <c r="O82" s="6">
        <v>12</v>
      </c>
      <c r="P82" s="7">
        <v>214.74884</v>
      </c>
      <c r="Q82" s="7">
        <v>903.38009999999997</v>
      </c>
      <c r="R82" s="9">
        <f>D82*VLOOKUP(1001,적!$A$4:$D$13,3,FALSE)</f>
        <v>6371.4936214400004</v>
      </c>
      <c r="S82" s="9">
        <f>D82*VLOOKUP(F82,보스!$A$4:$E$5,4,FALSE)</f>
        <v>229373.77037184002</v>
      </c>
    </row>
    <row r="83" spans="1:19" ht="21.95" customHeight="1">
      <c r="A83" s="6">
        <v>5080</v>
      </c>
      <c r="B83" s="2" t="s">
        <v>231</v>
      </c>
      <c r="C83" s="6">
        <v>80</v>
      </c>
      <c r="D83" s="7">
        <v>3248.6070371999999</v>
      </c>
      <c r="E83" s="2" t="s">
        <v>152</v>
      </c>
      <c r="F83" s="6">
        <v>2002</v>
      </c>
      <c r="G83" s="6">
        <v>5</v>
      </c>
      <c r="H83" s="7">
        <v>30</v>
      </c>
      <c r="I83" s="6">
        <v>5</v>
      </c>
      <c r="J83" s="6">
        <v>2</v>
      </c>
      <c r="K83" s="6">
        <v>1</v>
      </c>
      <c r="L83" s="6">
        <v>15</v>
      </c>
      <c r="M83" s="6">
        <v>35100</v>
      </c>
      <c r="N83" s="6">
        <v>702000</v>
      </c>
      <c r="O83" s="6">
        <v>13</v>
      </c>
      <c r="P83" s="7">
        <v>218.4624</v>
      </c>
      <c r="Q83" s="7">
        <v>918.99599999999998</v>
      </c>
      <c r="R83" s="9">
        <f>D83*VLOOKUP(1001,적!$A$4:$D$13,3,FALSE)</f>
        <v>6497.2140743999998</v>
      </c>
      <c r="S83" s="9">
        <f>D83*VLOOKUP(F83,보스!$A$4:$E$5,4,FALSE)</f>
        <v>233899.70667839999</v>
      </c>
    </row>
    <row r="84" spans="1:19" ht="21.95" customHeight="1">
      <c r="A84" s="6">
        <v>5081</v>
      </c>
      <c r="B84" s="2" t="s">
        <v>232</v>
      </c>
      <c r="C84" s="6">
        <v>81</v>
      </c>
      <c r="D84" s="7">
        <v>3312.076544</v>
      </c>
      <c r="E84" s="2" t="s">
        <v>152</v>
      </c>
      <c r="F84" s="6">
        <v>2001</v>
      </c>
      <c r="G84" s="6">
        <v>5</v>
      </c>
      <c r="H84" s="7">
        <v>30</v>
      </c>
      <c r="I84" s="6">
        <v>5</v>
      </c>
      <c r="J84" s="6">
        <v>2</v>
      </c>
      <c r="K84" s="6">
        <v>1</v>
      </c>
      <c r="L84" s="6">
        <v>15</v>
      </c>
      <c r="M84" s="6">
        <v>32037</v>
      </c>
      <c r="N84" s="6">
        <v>640740</v>
      </c>
      <c r="O84" s="6">
        <v>13</v>
      </c>
      <c r="P84" s="7">
        <v>222.20060000000001</v>
      </c>
      <c r="Q84" s="7">
        <v>934.71550000000002</v>
      </c>
      <c r="R84" s="9">
        <f>D84*VLOOKUP(1001,적!$A$4:$D$13,3,FALSE)</f>
        <v>6624.153088</v>
      </c>
      <c r="S84" s="9">
        <f>D84*VLOOKUP(F84,보스!$A$4:$E$5,4,FALSE)</f>
        <v>238469.511168</v>
      </c>
    </row>
    <row r="85" spans="1:19" ht="21.95" customHeight="1">
      <c r="A85" s="6">
        <v>5082</v>
      </c>
      <c r="B85" s="2" t="s">
        <v>233</v>
      </c>
      <c r="C85" s="6">
        <v>82</v>
      </c>
      <c r="D85" s="7">
        <v>3376.1575033600002</v>
      </c>
      <c r="E85" s="2" t="s">
        <v>152</v>
      </c>
      <c r="F85" s="6">
        <v>2002</v>
      </c>
      <c r="G85" s="6">
        <v>5</v>
      </c>
      <c r="H85" s="7">
        <v>30</v>
      </c>
      <c r="I85" s="6">
        <v>5</v>
      </c>
      <c r="J85" s="6">
        <v>2</v>
      </c>
      <c r="K85" s="6">
        <v>1</v>
      </c>
      <c r="L85" s="6">
        <v>15</v>
      </c>
      <c r="M85" s="6">
        <v>36300</v>
      </c>
      <c r="N85" s="6">
        <v>726000</v>
      </c>
      <c r="O85" s="6">
        <v>13</v>
      </c>
      <c r="P85" s="7">
        <v>225.96343999999999</v>
      </c>
      <c r="Q85" s="7">
        <v>950.53859999999997</v>
      </c>
      <c r="R85" s="9">
        <f>D85*VLOOKUP(1001,적!$A$4:$D$13,3,FALSE)</f>
        <v>6752.3150067200004</v>
      </c>
      <c r="S85" s="9">
        <f>D85*VLOOKUP(F85,보스!$A$4:$E$5,4,FALSE)</f>
        <v>243083.34024192003</v>
      </c>
    </row>
    <row r="86" spans="1:19" ht="21.95" customHeight="1">
      <c r="A86" s="6">
        <v>5083</v>
      </c>
      <c r="B86" s="2" t="s">
        <v>234</v>
      </c>
      <c r="C86" s="6">
        <v>83</v>
      </c>
      <c r="D86" s="7">
        <v>3440.8521047999998</v>
      </c>
      <c r="E86" s="2" t="s">
        <v>152</v>
      </c>
      <c r="F86" s="6">
        <v>2001</v>
      </c>
      <c r="G86" s="6">
        <v>5</v>
      </c>
      <c r="H86" s="7">
        <v>30</v>
      </c>
      <c r="I86" s="6">
        <v>5</v>
      </c>
      <c r="J86" s="6">
        <v>2</v>
      </c>
      <c r="K86" s="6">
        <v>1</v>
      </c>
      <c r="L86" s="6">
        <v>15</v>
      </c>
      <c r="M86" s="6">
        <v>33059</v>
      </c>
      <c r="N86" s="6">
        <v>661180</v>
      </c>
      <c r="O86" s="6">
        <v>13</v>
      </c>
      <c r="P86" s="7">
        <v>229.75092000000001</v>
      </c>
      <c r="Q86" s="7">
        <v>966.46529999999996</v>
      </c>
      <c r="R86" s="9">
        <f>D86*VLOOKUP(1001,적!$A$4:$D$13,3,FALSE)</f>
        <v>6881.7042095999996</v>
      </c>
      <c r="S86" s="9">
        <f>D86*VLOOKUP(F86,보스!$A$4:$E$5,4,FALSE)</f>
        <v>247741.35154559999</v>
      </c>
    </row>
    <row r="87" spans="1:19" ht="21.95" customHeight="1">
      <c r="A87" s="6">
        <v>5084</v>
      </c>
      <c r="B87" s="2" t="s">
        <v>235</v>
      </c>
      <c r="C87" s="6">
        <v>84</v>
      </c>
      <c r="D87" s="7">
        <v>3506.16255512</v>
      </c>
      <c r="E87" s="2" t="s">
        <v>152</v>
      </c>
      <c r="F87" s="6">
        <v>2002</v>
      </c>
      <c r="G87" s="6">
        <v>5</v>
      </c>
      <c r="H87" s="7">
        <v>30</v>
      </c>
      <c r="I87" s="6">
        <v>5</v>
      </c>
      <c r="J87" s="6">
        <v>2</v>
      </c>
      <c r="K87" s="6">
        <v>1</v>
      </c>
      <c r="L87" s="6">
        <v>15</v>
      </c>
      <c r="M87" s="6">
        <v>37508</v>
      </c>
      <c r="N87" s="6">
        <v>750160</v>
      </c>
      <c r="O87" s="6">
        <v>13</v>
      </c>
      <c r="P87" s="7">
        <v>233.56304</v>
      </c>
      <c r="Q87" s="7">
        <v>982.49559999999997</v>
      </c>
      <c r="R87" s="9">
        <f>D87*VLOOKUP(1001,적!$A$4:$D$13,3,FALSE)</f>
        <v>7012.32511024</v>
      </c>
      <c r="S87" s="9">
        <f>D87*VLOOKUP(F87,보스!$A$4:$E$5,4,FALSE)</f>
        <v>252443.70396864001</v>
      </c>
    </row>
    <row r="88" spans="1:19" ht="21.95" customHeight="1">
      <c r="A88" s="6">
        <v>5085</v>
      </c>
      <c r="B88" s="2" t="s">
        <v>236</v>
      </c>
      <c r="C88" s="6">
        <v>85</v>
      </c>
      <c r="D88" s="7">
        <v>3572.0910783999998</v>
      </c>
      <c r="E88" s="2" t="s">
        <v>152</v>
      </c>
      <c r="F88" s="6">
        <v>2001</v>
      </c>
      <c r="G88" s="6">
        <v>5</v>
      </c>
      <c r="H88" s="7">
        <v>30</v>
      </c>
      <c r="I88" s="6">
        <v>5</v>
      </c>
      <c r="J88" s="6">
        <v>2</v>
      </c>
      <c r="K88" s="6">
        <v>1</v>
      </c>
      <c r="L88" s="6">
        <v>15</v>
      </c>
      <c r="M88" s="6">
        <v>34085</v>
      </c>
      <c r="N88" s="6">
        <v>681700</v>
      </c>
      <c r="O88" s="6">
        <v>13</v>
      </c>
      <c r="P88" s="7">
        <v>237.3998</v>
      </c>
      <c r="Q88" s="7">
        <v>998.62950000000001</v>
      </c>
      <c r="R88" s="9">
        <f>D88*VLOOKUP(1001,적!$A$4:$D$13,3,FALSE)</f>
        <v>7144.1821567999996</v>
      </c>
      <c r="S88" s="9">
        <f>D88*VLOOKUP(F88,보스!$A$4:$E$5,4,FALSE)</f>
        <v>257190.55764479999</v>
      </c>
    </row>
    <row r="89" spans="1:19" ht="21.95" customHeight="1">
      <c r="A89" s="6">
        <v>5086</v>
      </c>
      <c r="B89" s="2" t="s">
        <v>237</v>
      </c>
      <c r="C89" s="6">
        <v>86</v>
      </c>
      <c r="D89" s="7">
        <v>3638.6399160000001</v>
      </c>
      <c r="E89" s="2" t="s">
        <v>152</v>
      </c>
      <c r="F89" s="6">
        <v>2002</v>
      </c>
      <c r="G89" s="6">
        <v>5</v>
      </c>
      <c r="H89" s="7">
        <v>30</v>
      </c>
      <c r="I89" s="6">
        <v>5</v>
      </c>
      <c r="J89" s="6">
        <v>2</v>
      </c>
      <c r="K89" s="6">
        <v>1</v>
      </c>
      <c r="L89" s="6">
        <v>15</v>
      </c>
      <c r="M89" s="6">
        <v>38725</v>
      </c>
      <c r="N89" s="6">
        <v>774500</v>
      </c>
      <c r="O89" s="6">
        <v>13</v>
      </c>
      <c r="P89" s="7">
        <v>241.2612</v>
      </c>
      <c r="Q89" s="7">
        <v>1014.867</v>
      </c>
      <c r="R89" s="9">
        <f>D89*VLOOKUP(1001,적!$A$4:$D$13,3,FALSE)</f>
        <v>7277.2798320000002</v>
      </c>
      <c r="S89" s="9">
        <f>D89*VLOOKUP(F89,보스!$A$4:$E$5,4,FALSE)</f>
        <v>261982.07395200001</v>
      </c>
    </row>
    <row r="90" spans="1:19" ht="21.95" customHeight="1">
      <c r="A90" s="6">
        <v>5087</v>
      </c>
      <c r="B90" s="2" t="s">
        <v>238</v>
      </c>
      <c r="C90" s="6">
        <v>87</v>
      </c>
      <c r="D90" s="7">
        <v>3705.81132656</v>
      </c>
      <c r="E90" s="2" t="s">
        <v>152</v>
      </c>
      <c r="F90" s="6">
        <v>2001</v>
      </c>
      <c r="G90" s="6">
        <v>5</v>
      </c>
      <c r="H90" s="7">
        <v>30</v>
      </c>
      <c r="I90" s="6">
        <v>5</v>
      </c>
      <c r="J90" s="6">
        <v>2</v>
      </c>
      <c r="K90" s="6">
        <v>1</v>
      </c>
      <c r="L90" s="6">
        <v>15</v>
      </c>
      <c r="M90" s="6">
        <v>35115</v>
      </c>
      <c r="N90" s="6">
        <v>702300</v>
      </c>
      <c r="O90" s="6">
        <v>13</v>
      </c>
      <c r="P90" s="7">
        <v>245.14724000000001</v>
      </c>
      <c r="Q90" s="7">
        <v>1031.2081000000001</v>
      </c>
      <c r="R90" s="9">
        <f>D90*VLOOKUP(1001,적!$A$4:$D$13,3,FALSE)</f>
        <v>7411.62265312</v>
      </c>
      <c r="S90" s="9">
        <f>D90*VLOOKUP(F90,보스!$A$4:$E$5,4,FALSE)</f>
        <v>266818.41551232</v>
      </c>
    </row>
    <row r="91" spans="1:19" ht="21.95" customHeight="1">
      <c r="A91" s="6">
        <v>5088</v>
      </c>
      <c r="B91" s="2" t="s">
        <v>239</v>
      </c>
      <c r="C91" s="6">
        <v>88</v>
      </c>
      <c r="D91" s="7">
        <v>3773.6075860000001</v>
      </c>
      <c r="E91" s="2" t="s">
        <v>152</v>
      </c>
      <c r="F91" s="6">
        <v>2002</v>
      </c>
      <c r="G91" s="6">
        <v>5</v>
      </c>
      <c r="H91" s="7">
        <v>30</v>
      </c>
      <c r="I91" s="6">
        <v>5</v>
      </c>
      <c r="J91" s="6">
        <v>2</v>
      </c>
      <c r="K91" s="6">
        <v>1</v>
      </c>
      <c r="L91" s="6">
        <v>15</v>
      </c>
      <c r="M91" s="6">
        <v>39949</v>
      </c>
      <c r="N91" s="6">
        <v>798980</v>
      </c>
      <c r="O91" s="6">
        <v>13</v>
      </c>
      <c r="P91" s="7">
        <v>249.05792</v>
      </c>
      <c r="Q91" s="7">
        <v>1047.6528000000001</v>
      </c>
      <c r="R91" s="9">
        <f>D91*VLOOKUP(1001,적!$A$4:$D$13,3,FALSE)</f>
        <v>7547.2151720000002</v>
      </c>
      <c r="S91" s="9">
        <f>D91*VLOOKUP(F91,보스!$A$4:$E$5,4,FALSE)</f>
        <v>271699.74619199999</v>
      </c>
    </row>
    <row r="92" spans="1:19" ht="21.95" customHeight="1">
      <c r="A92" s="6">
        <v>5089</v>
      </c>
      <c r="B92" s="2" t="s">
        <v>240</v>
      </c>
      <c r="C92" s="6">
        <v>89</v>
      </c>
      <c r="D92" s="7">
        <v>3842.0309875200001</v>
      </c>
      <c r="E92" s="2" t="s">
        <v>152</v>
      </c>
      <c r="F92" s="6">
        <v>2001</v>
      </c>
      <c r="G92" s="6">
        <v>5</v>
      </c>
      <c r="H92" s="7">
        <v>30</v>
      </c>
      <c r="I92" s="6">
        <v>5</v>
      </c>
      <c r="J92" s="6">
        <v>2</v>
      </c>
      <c r="K92" s="6">
        <v>1</v>
      </c>
      <c r="L92" s="6">
        <v>15</v>
      </c>
      <c r="M92" s="6">
        <v>36149</v>
      </c>
      <c r="N92" s="6">
        <v>722980</v>
      </c>
      <c r="O92" s="6">
        <v>13</v>
      </c>
      <c r="P92" s="7">
        <v>252.99323999999999</v>
      </c>
      <c r="Q92" s="7">
        <v>1064.2011</v>
      </c>
      <c r="R92" s="9">
        <f>D92*VLOOKUP(1001,적!$A$4:$D$13,3,FALSE)</f>
        <v>7684.0619750400001</v>
      </c>
      <c r="S92" s="9">
        <f>D92*VLOOKUP(F92,보스!$A$4:$E$5,4,FALSE)</f>
        <v>276626.23110144003</v>
      </c>
    </row>
    <row r="93" spans="1:19" ht="21.95" customHeight="1">
      <c r="A93" s="6">
        <v>5090</v>
      </c>
      <c r="B93" s="2" t="s">
        <v>241</v>
      </c>
      <c r="C93" s="6">
        <v>90</v>
      </c>
      <c r="D93" s="7">
        <v>3911.0838416000001</v>
      </c>
      <c r="E93" s="2" t="s">
        <v>152</v>
      </c>
      <c r="F93" s="6">
        <v>2002</v>
      </c>
      <c r="G93" s="6">
        <v>5</v>
      </c>
      <c r="H93" s="7">
        <v>30</v>
      </c>
      <c r="I93" s="6">
        <v>5</v>
      </c>
      <c r="J93" s="6">
        <v>2</v>
      </c>
      <c r="K93" s="6">
        <v>1</v>
      </c>
      <c r="L93" s="6">
        <v>15</v>
      </c>
      <c r="M93" s="6">
        <v>41182</v>
      </c>
      <c r="N93" s="6">
        <v>823640</v>
      </c>
      <c r="O93" s="6">
        <v>14</v>
      </c>
      <c r="P93" s="7">
        <v>256.95319999999998</v>
      </c>
      <c r="Q93" s="7">
        <v>1080.8530000000001</v>
      </c>
      <c r="R93" s="9">
        <f>D93*VLOOKUP(1001,적!$A$4:$D$13,3,FALSE)</f>
        <v>7822.1676832000003</v>
      </c>
      <c r="S93" s="9">
        <f>D93*VLOOKUP(F93,보스!$A$4:$E$5,4,FALSE)</f>
        <v>281598.03659520001</v>
      </c>
    </row>
    <row r="94" spans="1:19" ht="21.95" customHeight="1">
      <c r="A94" s="6">
        <v>5091</v>
      </c>
      <c r="B94" s="2" t="s">
        <v>242</v>
      </c>
      <c r="C94" s="6">
        <v>91</v>
      </c>
      <c r="D94" s="7">
        <v>3980.7684760000002</v>
      </c>
      <c r="E94" s="2" t="s">
        <v>152</v>
      </c>
      <c r="F94" s="6">
        <v>2001</v>
      </c>
      <c r="G94" s="6">
        <v>5</v>
      </c>
      <c r="H94" s="7">
        <v>30</v>
      </c>
      <c r="I94" s="6">
        <v>5</v>
      </c>
      <c r="J94" s="6">
        <v>2</v>
      </c>
      <c r="K94" s="6">
        <v>1</v>
      </c>
      <c r="L94" s="6">
        <v>15</v>
      </c>
      <c r="M94" s="6">
        <v>37187</v>
      </c>
      <c r="N94" s="6">
        <v>743740</v>
      </c>
      <c r="O94" s="6">
        <v>14</v>
      </c>
      <c r="P94" s="7">
        <v>260.93779999999998</v>
      </c>
      <c r="Q94" s="7">
        <v>1097.6085</v>
      </c>
      <c r="R94" s="9">
        <f>D94*VLOOKUP(1001,적!$A$4:$D$13,3,FALSE)</f>
        <v>7961.5369520000004</v>
      </c>
      <c r="S94" s="9">
        <f>D94*VLOOKUP(F94,보스!$A$4:$E$5,4,FALSE)</f>
        <v>286615.33027199999</v>
      </c>
    </row>
    <row r="95" spans="1:19" ht="21.95" customHeight="1">
      <c r="A95" s="6">
        <v>5092</v>
      </c>
      <c r="B95" s="2" t="s">
        <v>243</v>
      </c>
      <c r="C95" s="6">
        <v>92</v>
      </c>
      <c r="D95" s="7">
        <v>4051.0872357600001</v>
      </c>
      <c r="E95" s="2" t="s">
        <v>152</v>
      </c>
      <c r="F95" s="6">
        <v>2002</v>
      </c>
      <c r="G95" s="6">
        <v>5</v>
      </c>
      <c r="H95" s="7">
        <v>30</v>
      </c>
      <c r="I95" s="6">
        <v>5</v>
      </c>
      <c r="J95" s="6">
        <v>2</v>
      </c>
      <c r="K95" s="6">
        <v>1</v>
      </c>
      <c r="L95" s="6">
        <v>15</v>
      </c>
      <c r="M95" s="6">
        <v>42423</v>
      </c>
      <c r="N95" s="6">
        <v>848460</v>
      </c>
      <c r="O95" s="6">
        <v>14</v>
      </c>
      <c r="P95" s="7">
        <v>264.94704000000002</v>
      </c>
      <c r="Q95" s="7">
        <v>1114.4675999999999</v>
      </c>
      <c r="R95" s="9">
        <f>D95*VLOOKUP(1001,적!$A$4:$D$13,3,FALSE)</f>
        <v>8102.1744715200002</v>
      </c>
      <c r="S95" s="9">
        <f>D95*VLOOKUP(F95,보스!$A$4:$E$5,4,FALSE)</f>
        <v>291678.28097472002</v>
      </c>
    </row>
    <row r="96" spans="1:19" ht="21.95" customHeight="1">
      <c r="A96" s="6">
        <v>5093</v>
      </c>
      <c r="B96" s="2" t="s">
        <v>244</v>
      </c>
      <c r="C96" s="6">
        <v>93</v>
      </c>
      <c r="D96" s="7">
        <v>4122.0424831999999</v>
      </c>
      <c r="E96" s="2" t="s">
        <v>152</v>
      </c>
      <c r="F96" s="6">
        <v>2001</v>
      </c>
      <c r="G96" s="6">
        <v>5</v>
      </c>
      <c r="H96" s="7">
        <v>30</v>
      </c>
      <c r="I96" s="6">
        <v>5</v>
      </c>
      <c r="J96" s="6">
        <v>2</v>
      </c>
      <c r="K96" s="6">
        <v>1</v>
      </c>
      <c r="L96" s="6">
        <v>15</v>
      </c>
      <c r="M96" s="6">
        <v>38228</v>
      </c>
      <c r="N96" s="6">
        <v>764560</v>
      </c>
      <c r="O96" s="6">
        <v>14</v>
      </c>
      <c r="P96" s="7">
        <v>268.98092000000003</v>
      </c>
      <c r="Q96" s="7">
        <v>1131.4303</v>
      </c>
      <c r="R96" s="9">
        <f>D96*VLOOKUP(1001,적!$A$4:$D$13,3,FALSE)</f>
        <v>8244.0849663999998</v>
      </c>
      <c r="S96" s="9">
        <f>D96*VLOOKUP(F96,보스!$A$4:$E$5,4,FALSE)</f>
        <v>296787.05879039998</v>
      </c>
    </row>
    <row r="97" spans="1:19" ht="21.95" customHeight="1">
      <c r="A97" s="6">
        <v>5094</v>
      </c>
      <c r="B97" s="2" t="s">
        <v>245</v>
      </c>
      <c r="C97" s="6">
        <v>94</v>
      </c>
      <c r="D97" s="7">
        <v>4193.63659792</v>
      </c>
      <c r="E97" s="2" t="s">
        <v>152</v>
      </c>
      <c r="F97" s="6">
        <v>2002</v>
      </c>
      <c r="G97" s="6">
        <v>5</v>
      </c>
      <c r="H97" s="7">
        <v>30</v>
      </c>
      <c r="I97" s="6">
        <v>5</v>
      </c>
      <c r="J97" s="6">
        <v>2</v>
      </c>
      <c r="K97" s="6">
        <v>1</v>
      </c>
      <c r="L97" s="6">
        <v>15</v>
      </c>
      <c r="M97" s="6">
        <v>43671</v>
      </c>
      <c r="N97" s="6">
        <v>873420</v>
      </c>
      <c r="O97" s="6">
        <v>14</v>
      </c>
      <c r="P97" s="7">
        <v>273.03944000000001</v>
      </c>
      <c r="Q97" s="7">
        <v>1148.4965999999999</v>
      </c>
      <c r="R97" s="9">
        <f>D97*VLOOKUP(1001,적!$A$4:$D$13,3,FALSE)</f>
        <v>8387.27319584</v>
      </c>
      <c r="S97" s="9">
        <f>D97*VLOOKUP(F97,보스!$A$4:$E$5,4,FALSE)</f>
        <v>301941.83505023998</v>
      </c>
    </row>
    <row r="98" spans="1:19" ht="21.95" customHeight="1">
      <c r="A98" s="6">
        <v>5095</v>
      </c>
      <c r="B98" s="2" t="s">
        <v>246</v>
      </c>
      <c r="C98" s="6">
        <v>95</v>
      </c>
      <c r="D98" s="7">
        <v>4265.8719768000001</v>
      </c>
      <c r="E98" s="2" t="s">
        <v>152</v>
      </c>
      <c r="F98" s="6">
        <v>2001</v>
      </c>
      <c r="G98" s="6">
        <v>5</v>
      </c>
      <c r="H98" s="7">
        <v>30</v>
      </c>
      <c r="I98" s="6">
        <v>5</v>
      </c>
      <c r="J98" s="6">
        <v>2</v>
      </c>
      <c r="K98" s="6">
        <v>1</v>
      </c>
      <c r="L98" s="6">
        <v>15</v>
      </c>
      <c r="M98" s="6">
        <v>39273</v>
      </c>
      <c r="N98" s="6">
        <v>785460</v>
      </c>
      <c r="O98" s="6">
        <v>14</v>
      </c>
      <c r="P98" s="7">
        <v>277.12259999999998</v>
      </c>
      <c r="Q98" s="7">
        <v>1165.6665</v>
      </c>
      <c r="R98" s="9">
        <f>D98*VLOOKUP(1001,적!$A$4:$D$13,3,FALSE)</f>
        <v>8531.7439536000002</v>
      </c>
      <c r="S98" s="9">
        <f>D98*VLOOKUP(F98,보스!$A$4:$E$5,4,FALSE)</f>
        <v>307142.78232960001</v>
      </c>
    </row>
    <row r="99" spans="1:19" ht="21.95" customHeight="1">
      <c r="A99" s="6">
        <v>5096</v>
      </c>
      <c r="B99" s="2" t="s">
        <v>247</v>
      </c>
      <c r="C99" s="6">
        <v>96</v>
      </c>
      <c r="D99" s="7">
        <v>4338.7510339999999</v>
      </c>
      <c r="E99" s="2" t="s">
        <v>152</v>
      </c>
      <c r="F99" s="6">
        <v>2002</v>
      </c>
      <c r="G99" s="6">
        <v>5</v>
      </c>
      <c r="H99" s="7">
        <v>30</v>
      </c>
      <c r="I99" s="6">
        <v>5</v>
      </c>
      <c r="J99" s="6">
        <v>2</v>
      </c>
      <c r="K99" s="6">
        <v>1</v>
      </c>
      <c r="L99" s="6">
        <v>15</v>
      </c>
      <c r="M99" s="6">
        <v>44928</v>
      </c>
      <c r="N99" s="6">
        <v>898560</v>
      </c>
      <c r="O99" s="6">
        <v>14</v>
      </c>
      <c r="P99" s="7">
        <v>281.23039999999997</v>
      </c>
      <c r="Q99" s="7">
        <v>1182.94</v>
      </c>
      <c r="R99" s="9">
        <f>D99*VLOOKUP(1001,적!$A$4:$D$13,3,FALSE)</f>
        <v>8677.5020679999998</v>
      </c>
      <c r="S99" s="9">
        <f>D99*VLOOKUP(F99,보스!$A$4:$E$5,4,FALSE)</f>
        <v>312390.074448</v>
      </c>
    </row>
    <row r="100" spans="1:19" ht="21.95" customHeight="1">
      <c r="A100" s="6">
        <v>5097</v>
      </c>
      <c r="B100" s="2" t="s">
        <v>248</v>
      </c>
      <c r="C100" s="6">
        <v>97</v>
      </c>
      <c r="D100" s="7">
        <v>4412.2762009600001</v>
      </c>
      <c r="E100" s="2" t="s">
        <v>152</v>
      </c>
      <c r="F100" s="6">
        <v>2001</v>
      </c>
      <c r="G100" s="6">
        <v>5</v>
      </c>
      <c r="H100" s="7">
        <v>30</v>
      </c>
      <c r="I100" s="6">
        <v>5</v>
      </c>
      <c r="J100" s="6">
        <v>2</v>
      </c>
      <c r="K100" s="6">
        <v>1</v>
      </c>
      <c r="L100" s="6">
        <v>15</v>
      </c>
      <c r="M100" s="6">
        <v>40322</v>
      </c>
      <c r="N100" s="6">
        <v>806440</v>
      </c>
      <c r="O100" s="6">
        <v>14</v>
      </c>
      <c r="P100" s="7">
        <v>285.36284000000001</v>
      </c>
      <c r="Q100" s="7">
        <v>1200.3171</v>
      </c>
      <c r="R100" s="9">
        <f>D100*VLOOKUP(1001,적!$A$4:$D$13,3,FALSE)</f>
        <v>8824.5524019200002</v>
      </c>
      <c r="S100" s="9">
        <f>D100*VLOOKUP(F100,보스!$A$4:$E$5,4,FALSE)</f>
        <v>317683.88646911999</v>
      </c>
    </row>
    <row r="101" spans="1:19" ht="21.95" customHeight="1">
      <c r="A101" s="6">
        <v>5098</v>
      </c>
      <c r="B101" s="2" t="s">
        <v>249</v>
      </c>
      <c r="C101" s="6">
        <v>98</v>
      </c>
      <c r="D101" s="7">
        <v>4486.4499263999996</v>
      </c>
      <c r="E101" s="2" t="s">
        <v>152</v>
      </c>
      <c r="F101" s="6">
        <v>2002</v>
      </c>
      <c r="G101" s="6">
        <v>5</v>
      </c>
      <c r="H101" s="7">
        <v>30</v>
      </c>
      <c r="I101" s="6">
        <v>5</v>
      </c>
      <c r="J101" s="6">
        <v>2</v>
      </c>
      <c r="K101" s="6">
        <v>1</v>
      </c>
      <c r="L101" s="6">
        <v>15</v>
      </c>
      <c r="M101" s="6">
        <v>46193</v>
      </c>
      <c r="N101" s="6">
        <v>923860</v>
      </c>
      <c r="O101" s="6">
        <v>14</v>
      </c>
      <c r="P101" s="7">
        <v>289.51992000000001</v>
      </c>
      <c r="Q101" s="7">
        <v>1217.7978000000001</v>
      </c>
      <c r="R101" s="9">
        <f>D101*VLOOKUP(1001,적!$A$4:$D$13,3,FALSE)</f>
        <v>8972.8998527999993</v>
      </c>
      <c r="S101" s="9">
        <f>D101*VLOOKUP(F101,보스!$A$4:$E$5,4,FALSE)</f>
        <v>323024.39470079995</v>
      </c>
    </row>
    <row r="102" spans="1:19" ht="21.95" customHeight="1">
      <c r="A102" s="6">
        <v>5099</v>
      </c>
      <c r="B102" s="2" t="s">
        <v>250</v>
      </c>
      <c r="C102" s="6">
        <v>99</v>
      </c>
      <c r="D102" s="7">
        <v>4561.2746763200003</v>
      </c>
      <c r="E102" s="2" t="s">
        <v>152</v>
      </c>
      <c r="F102" s="6">
        <v>2001</v>
      </c>
      <c r="G102" s="6">
        <v>5</v>
      </c>
      <c r="H102" s="7">
        <v>30</v>
      </c>
      <c r="I102" s="6">
        <v>5</v>
      </c>
      <c r="J102" s="6">
        <v>2</v>
      </c>
      <c r="K102" s="6">
        <v>1</v>
      </c>
      <c r="L102" s="6">
        <v>15</v>
      </c>
      <c r="M102" s="6">
        <v>41375</v>
      </c>
      <c r="N102" s="6">
        <v>827500</v>
      </c>
      <c r="O102" s="6">
        <v>14</v>
      </c>
      <c r="P102" s="7">
        <v>293.70164</v>
      </c>
      <c r="Q102" s="7">
        <v>1235.3821</v>
      </c>
      <c r="R102" s="9">
        <f>D102*VLOOKUP(1001,적!$A$4:$D$13,3,FALSE)</f>
        <v>9122.5493526400005</v>
      </c>
      <c r="S102" s="9">
        <f>D102*VLOOKUP(F102,보스!$A$4:$E$5,4,FALSE)</f>
        <v>328411.77669504</v>
      </c>
    </row>
    <row r="103" spans="1:19" ht="21.95" customHeight="1">
      <c r="A103" s="6">
        <v>5100</v>
      </c>
      <c r="B103" s="2" t="s">
        <v>251</v>
      </c>
      <c r="C103" s="6">
        <v>100</v>
      </c>
      <c r="D103" s="7">
        <v>4636.7529340000001</v>
      </c>
      <c r="E103" s="2" t="s">
        <v>152</v>
      </c>
      <c r="F103" s="6">
        <v>2002</v>
      </c>
      <c r="G103" s="6">
        <v>5</v>
      </c>
      <c r="H103" s="7">
        <v>30</v>
      </c>
      <c r="I103" s="6">
        <v>5</v>
      </c>
      <c r="J103" s="6">
        <v>2</v>
      </c>
      <c r="K103" s="6">
        <v>1</v>
      </c>
      <c r="L103" s="6">
        <v>15</v>
      </c>
      <c r="M103" s="6">
        <v>47465</v>
      </c>
      <c r="N103" s="6">
        <v>949300</v>
      </c>
      <c r="O103" s="6">
        <v>15</v>
      </c>
      <c r="P103" s="7">
        <v>297.90800000000002</v>
      </c>
      <c r="Q103" s="7">
        <v>1253.07</v>
      </c>
      <c r="R103" s="9">
        <f>D103*VLOOKUP(1001,적!$A$4:$D$13,3,FALSE)</f>
        <v>9273.5058680000002</v>
      </c>
      <c r="S103" s="9">
        <f>D103*VLOOKUP(F103,보스!$A$4:$E$5,4,FALSE)</f>
        <v>333846.21124800004</v>
      </c>
    </row>
    <row r="104" spans="1:19" ht="21.95" customHeight="1">
      <c r="A104" s="6">
        <v>5101</v>
      </c>
      <c r="B104" s="2" t="s">
        <v>252</v>
      </c>
      <c r="C104" s="6">
        <v>101</v>
      </c>
      <c r="D104" s="7">
        <v>4712.8872000000001</v>
      </c>
      <c r="E104" s="2" t="s">
        <v>152</v>
      </c>
      <c r="F104" s="6">
        <v>2001</v>
      </c>
      <c r="G104" s="6">
        <v>5</v>
      </c>
      <c r="H104" s="7">
        <v>30</v>
      </c>
      <c r="I104" s="6">
        <v>5</v>
      </c>
      <c r="J104" s="6">
        <v>2</v>
      </c>
      <c r="K104" s="6">
        <v>1</v>
      </c>
      <c r="L104" s="6">
        <v>15</v>
      </c>
      <c r="M104" s="6">
        <v>36758</v>
      </c>
      <c r="N104" s="6">
        <v>735160</v>
      </c>
      <c r="O104" s="6">
        <v>15</v>
      </c>
      <c r="P104" s="7">
        <v>302.13900000000001</v>
      </c>
      <c r="Q104" s="7">
        <v>1270.8615</v>
      </c>
      <c r="R104" s="9">
        <f>D104*VLOOKUP(1001,적!$A$4:$D$13,3,FALSE)</f>
        <v>9425.7744000000002</v>
      </c>
      <c r="S104" s="9">
        <f>D104*VLOOKUP(F104,보스!$A$4:$E$5,4,FALSE)</f>
        <v>339327.87839999999</v>
      </c>
    </row>
    <row r="105" spans="1:19" ht="21.95" customHeight="1">
      <c r="A105" s="6">
        <v>5102</v>
      </c>
      <c r="B105" s="2" t="s">
        <v>253</v>
      </c>
      <c r="C105" s="6">
        <v>102</v>
      </c>
      <c r="D105" s="7">
        <v>4789.6799921600004</v>
      </c>
      <c r="E105" s="2" t="s">
        <v>152</v>
      </c>
      <c r="F105" s="6">
        <v>2002</v>
      </c>
      <c r="G105" s="6">
        <v>5</v>
      </c>
      <c r="H105" s="7">
        <v>30</v>
      </c>
      <c r="I105" s="6">
        <v>5</v>
      </c>
      <c r="J105" s="6">
        <v>2</v>
      </c>
      <c r="K105" s="6">
        <v>1</v>
      </c>
      <c r="L105" s="6">
        <v>15</v>
      </c>
      <c r="M105" s="6">
        <v>37176</v>
      </c>
      <c r="N105" s="6">
        <v>743520</v>
      </c>
      <c r="O105" s="6">
        <v>15</v>
      </c>
      <c r="P105" s="7">
        <v>306.39463999999998</v>
      </c>
      <c r="Q105" s="7">
        <v>1288.7565999999999</v>
      </c>
      <c r="R105" s="9">
        <f>D105*VLOOKUP(1001,적!$A$4:$D$13,3,FALSE)</f>
        <v>9579.3599843200009</v>
      </c>
      <c r="S105" s="9">
        <f>D105*VLOOKUP(F105,보스!$A$4:$E$5,4,FALSE)</f>
        <v>344856.95943552005</v>
      </c>
    </row>
    <row r="106" spans="1:19" ht="21.95" customHeight="1">
      <c r="A106" s="6">
        <v>5103</v>
      </c>
      <c r="B106" s="2" t="s">
        <v>254</v>
      </c>
      <c r="C106" s="6">
        <v>103</v>
      </c>
      <c r="D106" s="7">
        <v>4867.1338456000003</v>
      </c>
      <c r="E106" s="2" t="s">
        <v>152</v>
      </c>
      <c r="F106" s="6">
        <v>2001</v>
      </c>
      <c r="G106" s="6">
        <v>5</v>
      </c>
      <c r="H106" s="7">
        <v>30</v>
      </c>
      <c r="I106" s="6">
        <v>5</v>
      </c>
      <c r="J106" s="6">
        <v>2</v>
      </c>
      <c r="K106" s="6">
        <v>1</v>
      </c>
      <c r="L106" s="6">
        <v>15</v>
      </c>
      <c r="M106" s="6">
        <v>37594</v>
      </c>
      <c r="N106" s="6">
        <v>751880</v>
      </c>
      <c r="O106" s="6">
        <v>15</v>
      </c>
      <c r="P106" s="7">
        <v>310.67491999999999</v>
      </c>
      <c r="Q106" s="7">
        <v>1306.7553</v>
      </c>
      <c r="R106" s="9">
        <f>D106*VLOOKUP(1001,적!$A$4:$D$13,3,FALSE)</f>
        <v>9734.2676912000006</v>
      </c>
      <c r="S106" s="9">
        <f>D106*VLOOKUP(F106,보스!$A$4:$E$5,4,FALSE)</f>
        <v>350433.63688320003</v>
      </c>
    </row>
    <row r="107" spans="1:19" ht="21.95" customHeight="1">
      <c r="A107" s="6">
        <v>5104</v>
      </c>
      <c r="B107" s="2" t="s">
        <v>255</v>
      </c>
      <c r="C107" s="6">
        <v>104</v>
      </c>
      <c r="D107" s="7">
        <v>4945.25131272</v>
      </c>
      <c r="E107" s="2" t="s">
        <v>152</v>
      </c>
      <c r="F107" s="6">
        <v>2002</v>
      </c>
      <c r="G107" s="6">
        <v>5</v>
      </c>
      <c r="H107" s="7">
        <v>30</v>
      </c>
      <c r="I107" s="6">
        <v>5</v>
      </c>
      <c r="J107" s="6">
        <v>2</v>
      </c>
      <c r="K107" s="6">
        <v>1</v>
      </c>
      <c r="L107" s="6">
        <v>15</v>
      </c>
      <c r="M107" s="6">
        <v>38012</v>
      </c>
      <c r="N107" s="6">
        <v>760240</v>
      </c>
      <c r="O107" s="6">
        <v>15</v>
      </c>
      <c r="P107" s="7">
        <v>314.97984000000002</v>
      </c>
      <c r="Q107" s="7">
        <v>1324.8576</v>
      </c>
      <c r="R107" s="9">
        <f>D107*VLOOKUP(1001,적!$A$4:$D$13,3,FALSE)</f>
        <v>9890.50262544</v>
      </c>
      <c r="S107" s="9">
        <f>D107*VLOOKUP(F107,보스!$A$4:$E$5,4,FALSE)</f>
        <v>356058.09451584</v>
      </c>
    </row>
    <row r="108" spans="1:19" ht="21.95" customHeight="1">
      <c r="A108" s="6">
        <v>5105</v>
      </c>
      <c r="B108" s="2" t="s">
        <v>256</v>
      </c>
      <c r="C108" s="6">
        <v>105</v>
      </c>
      <c r="D108" s="7">
        <v>5024.0349631999998</v>
      </c>
      <c r="E108" s="2" t="s">
        <v>152</v>
      </c>
      <c r="F108" s="6">
        <v>2001</v>
      </c>
      <c r="G108" s="6">
        <v>5</v>
      </c>
      <c r="H108" s="7">
        <v>30</v>
      </c>
      <c r="I108" s="6">
        <v>5</v>
      </c>
      <c r="J108" s="6">
        <v>2</v>
      </c>
      <c r="K108" s="6">
        <v>1</v>
      </c>
      <c r="L108" s="6">
        <v>15</v>
      </c>
      <c r="M108" s="6">
        <v>38429</v>
      </c>
      <c r="N108" s="6">
        <v>768580</v>
      </c>
      <c r="O108" s="6">
        <v>15</v>
      </c>
      <c r="P108" s="7">
        <v>319.30939999999998</v>
      </c>
      <c r="Q108" s="7">
        <v>1343.0635</v>
      </c>
      <c r="R108" s="9">
        <f>D108*VLOOKUP(1001,적!$A$4:$D$13,3,FALSE)</f>
        <v>10048.0699264</v>
      </c>
      <c r="S108" s="9">
        <f>D108*VLOOKUP(F108,보스!$A$4:$E$5,4,FALSE)</f>
        <v>361730.51735039998</v>
      </c>
    </row>
    <row r="109" spans="1:19" ht="21.95" customHeight="1">
      <c r="A109" s="6">
        <v>5106</v>
      </c>
      <c r="B109" s="2" t="s">
        <v>257</v>
      </c>
      <c r="C109" s="6">
        <v>106</v>
      </c>
      <c r="D109" s="7">
        <v>5103.487384</v>
      </c>
      <c r="E109" s="2" t="s">
        <v>152</v>
      </c>
      <c r="F109" s="6">
        <v>2002</v>
      </c>
      <c r="G109" s="6">
        <v>5</v>
      </c>
      <c r="H109" s="7">
        <v>30</v>
      </c>
      <c r="I109" s="6">
        <v>5</v>
      </c>
      <c r="J109" s="6">
        <v>2</v>
      </c>
      <c r="K109" s="6">
        <v>1</v>
      </c>
      <c r="L109" s="6">
        <v>15</v>
      </c>
      <c r="M109" s="6">
        <v>38847</v>
      </c>
      <c r="N109" s="6">
        <v>776940</v>
      </c>
      <c r="O109" s="6">
        <v>15</v>
      </c>
      <c r="P109" s="7">
        <v>323.66359999999997</v>
      </c>
      <c r="Q109" s="7">
        <v>1361.373</v>
      </c>
      <c r="R109" s="9">
        <f>D109*VLOOKUP(1001,적!$A$4:$D$13,3,FALSE)</f>
        <v>10206.974768</v>
      </c>
      <c r="S109" s="9">
        <f>D109*VLOOKUP(F109,보스!$A$4:$E$5,4,FALSE)</f>
        <v>367451.091648</v>
      </c>
    </row>
    <row r="110" spans="1:19" ht="21.95" customHeight="1">
      <c r="A110" s="6">
        <v>5107</v>
      </c>
      <c r="B110" s="2" t="s">
        <v>258</v>
      </c>
      <c r="C110" s="6">
        <v>107</v>
      </c>
      <c r="D110" s="7">
        <v>5183.6111793600003</v>
      </c>
      <c r="E110" s="2" t="s">
        <v>152</v>
      </c>
      <c r="F110" s="6">
        <v>2001</v>
      </c>
      <c r="G110" s="6">
        <v>5</v>
      </c>
      <c r="H110" s="7">
        <v>30</v>
      </c>
      <c r="I110" s="6">
        <v>5</v>
      </c>
      <c r="J110" s="6">
        <v>2</v>
      </c>
      <c r="K110" s="6">
        <v>1</v>
      </c>
      <c r="L110" s="6">
        <v>15</v>
      </c>
      <c r="M110" s="6">
        <v>39264</v>
      </c>
      <c r="N110" s="6">
        <v>785280</v>
      </c>
      <c r="O110" s="6">
        <v>15</v>
      </c>
      <c r="P110" s="7">
        <v>328.04244</v>
      </c>
      <c r="Q110" s="7">
        <v>1379.7861</v>
      </c>
      <c r="R110" s="9">
        <f>D110*VLOOKUP(1001,적!$A$4:$D$13,3,FALSE)</f>
        <v>10367.222358720001</v>
      </c>
      <c r="S110" s="9">
        <f>D110*VLOOKUP(F110,보스!$A$4:$E$5,4,FALSE)</f>
        <v>373220.00491392001</v>
      </c>
    </row>
    <row r="111" spans="1:19" ht="21.95" customHeight="1">
      <c r="A111" s="6">
        <v>5108</v>
      </c>
      <c r="B111" s="2" t="s">
        <v>259</v>
      </c>
      <c r="C111" s="6">
        <v>108</v>
      </c>
      <c r="D111" s="7">
        <v>5264.4089708000001</v>
      </c>
      <c r="E111" s="2" t="s">
        <v>152</v>
      </c>
      <c r="F111" s="6">
        <v>2002</v>
      </c>
      <c r="G111" s="6">
        <v>5</v>
      </c>
      <c r="H111" s="7">
        <v>30</v>
      </c>
      <c r="I111" s="6">
        <v>5</v>
      </c>
      <c r="J111" s="6">
        <v>2</v>
      </c>
      <c r="K111" s="6">
        <v>1</v>
      </c>
      <c r="L111" s="6">
        <v>15</v>
      </c>
      <c r="M111" s="6">
        <v>39682</v>
      </c>
      <c r="N111" s="6">
        <v>793640</v>
      </c>
      <c r="O111" s="6">
        <v>15</v>
      </c>
      <c r="P111" s="7">
        <v>332.44592</v>
      </c>
      <c r="Q111" s="7">
        <v>1398.3027999999999</v>
      </c>
      <c r="R111" s="9">
        <f>D111*VLOOKUP(1001,적!$A$4:$D$13,3,FALSE)</f>
        <v>10528.8179416</v>
      </c>
      <c r="S111" s="9">
        <f>D111*VLOOKUP(F111,보스!$A$4:$E$5,4,FALSE)</f>
        <v>379037.44589760003</v>
      </c>
    </row>
    <row r="112" spans="1:19" ht="21.95" customHeight="1">
      <c r="A112" s="6">
        <v>5109</v>
      </c>
      <c r="B112" s="2" t="s">
        <v>260</v>
      </c>
      <c r="C112" s="6">
        <v>109</v>
      </c>
      <c r="D112" s="7">
        <v>5345.8833971200002</v>
      </c>
      <c r="E112" s="2" t="s">
        <v>152</v>
      </c>
      <c r="F112" s="6">
        <v>2001</v>
      </c>
      <c r="G112" s="6">
        <v>5</v>
      </c>
      <c r="H112" s="7">
        <v>30</v>
      </c>
      <c r="I112" s="6">
        <v>5</v>
      </c>
      <c r="J112" s="6">
        <v>2</v>
      </c>
      <c r="K112" s="6">
        <v>1</v>
      </c>
      <c r="L112" s="6">
        <v>15</v>
      </c>
      <c r="M112" s="6">
        <v>40099</v>
      </c>
      <c r="N112" s="6">
        <v>801980</v>
      </c>
      <c r="O112" s="6">
        <v>15</v>
      </c>
      <c r="P112" s="7">
        <v>336.87403999999998</v>
      </c>
      <c r="Q112" s="7">
        <v>1416.9231</v>
      </c>
      <c r="R112" s="9">
        <f>D112*VLOOKUP(1001,적!$A$4:$D$13,3,FALSE)</f>
        <v>10691.76679424</v>
      </c>
      <c r="S112" s="9">
        <f>D112*VLOOKUP(F112,보스!$A$4:$E$5,4,FALSE)</f>
        <v>384903.60459264001</v>
      </c>
    </row>
    <row r="113" spans="1:19" ht="21.95" customHeight="1">
      <c r="A113" s="6">
        <v>5110</v>
      </c>
      <c r="B113" s="2" t="s">
        <v>261</v>
      </c>
      <c r="C113" s="6">
        <v>110</v>
      </c>
      <c r="D113" s="7">
        <v>5428.0371144000001</v>
      </c>
      <c r="E113" s="2" t="s">
        <v>152</v>
      </c>
      <c r="F113" s="6">
        <v>2002</v>
      </c>
      <c r="G113" s="6">
        <v>5</v>
      </c>
      <c r="H113" s="7">
        <v>30</v>
      </c>
      <c r="I113" s="6">
        <v>5</v>
      </c>
      <c r="J113" s="6">
        <v>2</v>
      </c>
      <c r="K113" s="6">
        <v>1</v>
      </c>
      <c r="L113" s="6">
        <v>15</v>
      </c>
      <c r="M113" s="6">
        <v>40516</v>
      </c>
      <c r="N113" s="6">
        <v>810320</v>
      </c>
      <c r="O113" s="6">
        <v>16</v>
      </c>
      <c r="P113" s="7">
        <v>341.32679999999999</v>
      </c>
      <c r="Q113" s="7">
        <v>1435.6469999999999</v>
      </c>
      <c r="R113" s="9">
        <f>D113*VLOOKUP(1001,적!$A$4:$D$13,3,FALSE)</f>
        <v>10856.0742288</v>
      </c>
      <c r="S113" s="9">
        <f>D113*VLOOKUP(F113,보스!$A$4:$E$5,4,FALSE)</f>
        <v>390818.67223680002</v>
      </c>
    </row>
    <row r="114" spans="1:19" ht="21.95" customHeight="1">
      <c r="A114" s="6">
        <v>5111</v>
      </c>
      <c r="B114" s="2" t="s">
        <v>262</v>
      </c>
      <c r="C114" s="6">
        <v>111</v>
      </c>
      <c r="D114" s="7">
        <v>5510.8727959999997</v>
      </c>
      <c r="E114" s="2" t="s">
        <v>152</v>
      </c>
      <c r="F114" s="6">
        <v>2001</v>
      </c>
      <c r="G114" s="6">
        <v>5</v>
      </c>
      <c r="H114" s="7">
        <v>30</v>
      </c>
      <c r="I114" s="6">
        <v>5</v>
      </c>
      <c r="J114" s="6">
        <v>2</v>
      </c>
      <c r="K114" s="6">
        <v>1</v>
      </c>
      <c r="L114" s="6">
        <v>15</v>
      </c>
      <c r="M114" s="6">
        <v>40933</v>
      </c>
      <c r="N114" s="6">
        <v>818660</v>
      </c>
      <c r="O114" s="6">
        <v>16</v>
      </c>
      <c r="P114" s="7">
        <v>345.80419999999998</v>
      </c>
      <c r="Q114" s="7">
        <v>1454.4745</v>
      </c>
      <c r="R114" s="9">
        <f>D114*VLOOKUP(1001,적!$A$4:$D$13,3,FALSE)</f>
        <v>11021.745591999999</v>
      </c>
      <c r="S114" s="9">
        <f>D114*VLOOKUP(F114,보스!$A$4:$E$5,4,FALSE)</f>
        <v>396782.84131199995</v>
      </c>
    </row>
    <row r="115" spans="1:19" ht="21.95" customHeight="1">
      <c r="A115" s="6">
        <v>5112</v>
      </c>
      <c r="B115" s="2" t="s">
        <v>263</v>
      </c>
      <c r="C115" s="6">
        <v>112</v>
      </c>
      <c r="D115" s="7">
        <v>5594.3931325599997</v>
      </c>
      <c r="E115" s="2" t="s">
        <v>152</v>
      </c>
      <c r="F115" s="6">
        <v>2002</v>
      </c>
      <c r="G115" s="6">
        <v>5</v>
      </c>
      <c r="H115" s="7">
        <v>30</v>
      </c>
      <c r="I115" s="6">
        <v>5</v>
      </c>
      <c r="J115" s="6">
        <v>2</v>
      </c>
      <c r="K115" s="6">
        <v>1</v>
      </c>
      <c r="L115" s="6">
        <v>15</v>
      </c>
      <c r="M115" s="6">
        <v>41350</v>
      </c>
      <c r="N115" s="6">
        <v>827000</v>
      </c>
      <c r="O115" s="6">
        <v>16</v>
      </c>
      <c r="P115" s="7">
        <v>350.30624</v>
      </c>
      <c r="Q115" s="7">
        <v>1473.4056</v>
      </c>
      <c r="R115" s="9">
        <f>D115*VLOOKUP(1001,적!$A$4:$D$13,3,FALSE)</f>
        <v>11188.786265119999</v>
      </c>
      <c r="S115" s="9">
        <f>D115*VLOOKUP(F115,보스!$A$4:$E$5,4,FALSE)</f>
        <v>402796.30554431997</v>
      </c>
    </row>
    <row r="116" spans="1:19" ht="21.95" customHeight="1">
      <c r="A116" s="6">
        <v>5113</v>
      </c>
      <c r="B116" s="2" t="s">
        <v>264</v>
      </c>
      <c r="C116" s="6">
        <v>113</v>
      </c>
      <c r="D116" s="7">
        <v>5678.6008320000001</v>
      </c>
      <c r="E116" s="2" t="s">
        <v>152</v>
      </c>
      <c r="F116" s="6">
        <v>2001</v>
      </c>
      <c r="G116" s="6">
        <v>5</v>
      </c>
      <c r="H116" s="7">
        <v>30</v>
      </c>
      <c r="I116" s="6">
        <v>5</v>
      </c>
      <c r="J116" s="6">
        <v>2</v>
      </c>
      <c r="K116" s="6">
        <v>1</v>
      </c>
      <c r="L116" s="6">
        <v>15</v>
      </c>
      <c r="M116" s="6">
        <v>41767</v>
      </c>
      <c r="N116" s="6">
        <v>835340</v>
      </c>
      <c r="O116" s="6">
        <v>16</v>
      </c>
      <c r="P116" s="7">
        <v>354.83292</v>
      </c>
      <c r="Q116" s="7">
        <v>1492.4403</v>
      </c>
      <c r="R116" s="9">
        <f>D116*VLOOKUP(1001,적!$A$4:$D$13,3,FALSE)</f>
        <v>11357.201664</v>
      </c>
      <c r="S116" s="9">
        <f>D116*VLOOKUP(F116,보스!$A$4:$E$5,4,FALSE)</f>
        <v>408859.25990399998</v>
      </c>
    </row>
    <row r="117" spans="1:19" ht="21.95" customHeight="1">
      <c r="A117" s="6">
        <v>5114</v>
      </c>
      <c r="B117" s="2" t="s">
        <v>265</v>
      </c>
      <c r="C117" s="6">
        <v>114</v>
      </c>
      <c r="D117" s="7">
        <v>5763.4986195199999</v>
      </c>
      <c r="E117" s="2" t="s">
        <v>152</v>
      </c>
      <c r="F117" s="6">
        <v>2002</v>
      </c>
      <c r="G117" s="6">
        <v>5</v>
      </c>
      <c r="H117" s="7">
        <v>30</v>
      </c>
      <c r="I117" s="6">
        <v>5</v>
      </c>
      <c r="J117" s="6">
        <v>2</v>
      </c>
      <c r="K117" s="6">
        <v>1</v>
      </c>
      <c r="L117" s="6">
        <v>15</v>
      </c>
      <c r="M117" s="6">
        <v>42184</v>
      </c>
      <c r="N117" s="6">
        <v>843680</v>
      </c>
      <c r="O117" s="6">
        <v>16</v>
      </c>
      <c r="P117" s="7">
        <v>359.38423999999998</v>
      </c>
      <c r="Q117" s="7">
        <v>1511.5786000000001</v>
      </c>
      <c r="R117" s="9">
        <f>D117*VLOOKUP(1001,적!$A$4:$D$13,3,FALSE)</f>
        <v>11526.99723904</v>
      </c>
      <c r="S117" s="9">
        <f>D117*VLOOKUP(F117,보스!$A$4:$E$5,4,FALSE)</f>
        <v>414971.90060544002</v>
      </c>
    </row>
    <row r="118" spans="1:19" ht="21.95" customHeight="1">
      <c r="A118" s="6">
        <v>5115</v>
      </c>
      <c r="B118" s="2" t="s">
        <v>266</v>
      </c>
      <c r="C118" s="6">
        <v>115</v>
      </c>
      <c r="D118" s="7">
        <v>5849.0892376000002</v>
      </c>
      <c r="E118" s="2" t="s">
        <v>152</v>
      </c>
      <c r="F118" s="6">
        <v>2001</v>
      </c>
      <c r="G118" s="6">
        <v>5</v>
      </c>
      <c r="H118" s="7">
        <v>30</v>
      </c>
      <c r="I118" s="6">
        <v>5</v>
      </c>
      <c r="J118" s="6">
        <v>2</v>
      </c>
      <c r="K118" s="6">
        <v>1</v>
      </c>
      <c r="L118" s="6">
        <v>15</v>
      </c>
      <c r="M118" s="6">
        <v>42600</v>
      </c>
      <c r="N118" s="6">
        <v>852000</v>
      </c>
      <c r="O118" s="6">
        <v>16</v>
      </c>
      <c r="P118" s="7">
        <v>363.96019999999999</v>
      </c>
      <c r="Q118" s="7">
        <v>1530.8205</v>
      </c>
      <c r="R118" s="9">
        <f>D118*VLOOKUP(1001,적!$A$4:$D$13,3,FALSE)</f>
        <v>11698.1784752</v>
      </c>
      <c r="S118" s="9">
        <f>D118*VLOOKUP(F118,보스!$A$4:$E$5,4,FALSE)</f>
        <v>421134.42510719999</v>
      </c>
    </row>
    <row r="119" spans="1:19" ht="21.95" customHeight="1">
      <c r="A119" s="6">
        <v>5116</v>
      </c>
      <c r="B119" s="2" t="s">
        <v>267</v>
      </c>
      <c r="C119" s="6">
        <v>116</v>
      </c>
      <c r="D119" s="7">
        <v>5935.375446</v>
      </c>
      <c r="E119" s="2" t="s">
        <v>152</v>
      </c>
      <c r="F119" s="6">
        <v>2002</v>
      </c>
      <c r="G119" s="6">
        <v>5</v>
      </c>
      <c r="H119" s="7">
        <v>30</v>
      </c>
      <c r="I119" s="6">
        <v>5</v>
      </c>
      <c r="J119" s="6">
        <v>2</v>
      </c>
      <c r="K119" s="6">
        <v>1</v>
      </c>
      <c r="L119" s="6">
        <v>15</v>
      </c>
      <c r="M119" s="6">
        <v>43017</v>
      </c>
      <c r="N119" s="6">
        <v>860340</v>
      </c>
      <c r="O119" s="6">
        <v>16</v>
      </c>
      <c r="P119" s="7">
        <v>368.56079999999997</v>
      </c>
      <c r="Q119" s="7">
        <v>1550.1659999999999</v>
      </c>
      <c r="R119" s="9">
        <f>D119*VLOOKUP(1001,적!$A$4:$D$13,3,FALSE)</f>
        <v>11870.750892</v>
      </c>
      <c r="S119" s="9">
        <f>D119*VLOOKUP(F119,보스!$A$4:$E$5,4,FALSE)</f>
        <v>427347.03211199999</v>
      </c>
    </row>
    <row r="120" spans="1:19" ht="21.95" customHeight="1">
      <c r="A120" s="6">
        <v>5117</v>
      </c>
      <c r="B120" s="2" t="s">
        <v>268</v>
      </c>
      <c r="C120" s="6">
        <v>117</v>
      </c>
      <c r="D120" s="7">
        <v>6022.3600217599997</v>
      </c>
      <c r="E120" s="2" t="s">
        <v>152</v>
      </c>
      <c r="F120" s="6">
        <v>2001</v>
      </c>
      <c r="G120" s="6">
        <v>5</v>
      </c>
      <c r="H120" s="7">
        <v>30</v>
      </c>
      <c r="I120" s="6">
        <v>5</v>
      </c>
      <c r="J120" s="6">
        <v>2</v>
      </c>
      <c r="K120" s="6">
        <v>1</v>
      </c>
      <c r="L120" s="6">
        <v>15</v>
      </c>
      <c r="M120" s="6">
        <v>43433</v>
      </c>
      <c r="N120" s="6">
        <v>868660</v>
      </c>
      <c r="O120" s="6">
        <v>16</v>
      </c>
      <c r="P120" s="7">
        <v>373.18603999999999</v>
      </c>
      <c r="Q120" s="7">
        <v>1569.6151</v>
      </c>
      <c r="R120" s="9">
        <f>D120*VLOOKUP(1001,적!$A$4:$D$13,3,FALSE)</f>
        <v>12044.720043519999</v>
      </c>
      <c r="S120" s="9">
        <f>D120*VLOOKUP(F120,보스!$A$4:$E$5,4,FALSE)</f>
        <v>433609.92156672</v>
      </c>
    </row>
    <row r="121" spans="1:19" ht="21.95" customHeight="1">
      <c r="A121" s="6">
        <v>5118</v>
      </c>
      <c r="B121" s="2" t="s">
        <v>269</v>
      </c>
      <c r="C121" s="6">
        <v>118</v>
      </c>
      <c r="D121" s="7">
        <v>6110.0457592000002</v>
      </c>
      <c r="E121" s="2" t="s">
        <v>152</v>
      </c>
      <c r="F121" s="6">
        <v>2002</v>
      </c>
      <c r="G121" s="6">
        <v>5</v>
      </c>
      <c r="H121" s="7">
        <v>30</v>
      </c>
      <c r="I121" s="6">
        <v>5</v>
      </c>
      <c r="J121" s="6">
        <v>2</v>
      </c>
      <c r="K121" s="6">
        <v>1</v>
      </c>
      <c r="L121" s="6">
        <v>15</v>
      </c>
      <c r="M121" s="6">
        <v>43849</v>
      </c>
      <c r="N121" s="6">
        <v>876980</v>
      </c>
      <c r="O121" s="6">
        <v>16</v>
      </c>
      <c r="P121" s="7">
        <v>377.83591999999999</v>
      </c>
      <c r="Q121" s="7">
        <v>1589.1677999999999</v>
      </c>
      <c r="R121" s="9">
        <f>D121*VLOOKUP(1001,적!$A$4:$D$13,3,FALSE)</f>
        <v>12220.0915184</v>
      </c>
      <c r="S121" s="9">
        <f>D121*VLOOKUP(F121,보스!$A$4:$E$5,4,FALSE)</f>
        <v>439923.29466240003</v>
      </c>
    </row>
    <row r="122" spans="1:19" ht="21.95" customHeight="1">
      <c r="A122" s="6">
        <v>5119</v>
      </c>
      <c r="B122" s="2" t="s">
        <v>270</v>
      </c>
      <c r="C122" s="6">
        <v>119</v>
      </c>
      <c r="D122" s="7">
        <v>6198.4354699200003</v>
      </c>
      <c r="E122" s="2" t="s">
        <v>152</v>
      </c>
      <c r="F122" s="6">
        <v>2001</v>
      </c>
      <c r="G122" s="6">
        <v>5</v>
      </c>
      <c r="H122" s="7">
        <v>30</v>
      </c>
      <c r="I122" s="6">
        <v>5</v>
      </c>
      <c r="J122" s="6">
        <v>2</v>
      </c>
      <c r="K122" s="6">
        <v>1</v>
      </c>
      <c r="L122" s="6">
        <v>15</v>
      </c>
      <c r="M122" s="6">
        <v>44265</v>
      </c>
      <c r="N122" s="6">
        <v>885300</v>
      </c>
      <c r="O122" s="6">
        <v>16</v>
      </c>
      <c r="P122" s="7">
        <v>382.51044000000002</v>
      </c>
      <c r="Q122" s="7">
        <v>1608.8241</v>
      </c>
      <c r="R122" s="9">
        <f>D122*VLOOKUP(1001,적!$A$4:$D$13,3,FALSE)</f>
        <v>12396.870939840001</v>
      </c>
      <c r="S122" s="9">
        <f>D122*VLOOKUP(F122,보스!$A$4:$E$5,4,FALSE)</f>
        <v>446287.35383424</v>
      </c>
    </row>
    <row r="123" spans="1:19" ht="21.95" customHeight="1">
      <c r="A123" s="6">
        <v>5120</v>
      </c>
      <c r="B123" s="2" t="s">
        <v>271</v>
      </c>
      <c r="C123" s="6">
        <v>120</v>
      </c>
      <c r="D123" s="7">
        <v>6287.5319828000002</v>
      </c>
      <c r="E123" s="2" t="s">
        <v>152</v>
      </c>
      <c r="F123" s="6">
        <v>2002</v>
      </c>
      <c r="G123" s="6">
        <v>5</v>
      </c>
      <c r="H123" s="7">
        <v>30</v>
      </c>
      <c r="I123" s="6">
        <v>5</v>
      </c>
      <c r="J123" s="6">
        <v>2</v>
      </c>
      <c r="K123" s="6">
        <v>1</v>
      </c>
      <c r="L123" s="6">
        <v>15</v>
      </c>
      <c r="M123" s="6">
        <v>44682</v>
      </c>
      <c r="N123" s="6">
        <v>893640</v>
      </c>
      <c r="O123" s="6">
        <v>17</v>
      </c>
      <c r="P123" s="7">
        <v>387.20960000000002</v>
      </c>
      <c r="Q123" s="7">
        <v>1628.5840000000001</v>
      </c>
      <c r="R123" s="9">
        <f>D123*VLOOKUP(1001,적!$A$4:$D$13,3,FALSE)</f>
        <v>12575.0639656</v>
      </c>
      <c r="S123" s="9">
        <f>D123*VLOOKUP(F123,보스!$A$4:$E$5,4,FALSE)</f>
        <v>452702.3027616</v>
      </c>
    </row>
    <row r="124" spans="1:19" ht="21.95" customHeight="1">
      <c r="A124" s="6">
        <v>5121</v>
      </c>
      <c r="B124" s="2" t="s">
        <v>272</v>
      </c>
      <c r="C124" s="6">
        <v>121</v>
      </c>
      <c r="D124" s="7">
        <v>6377.3381440000003</v>
      </c>
      <c r="E124" s="2" t="s">
        <v>152</v>
      </c>
      <c r="F124" s="6">
        <v>2001</v>
      </c>
      <c r="G124" s="6">
        <v>5</v>
      </c>
      <c r="H124" s="7">
        <v>30</v>
      </c>
      <c r="I124" s="6">
        <v>5</v>
      </c>
      <c r="J124" s="6">
        <v>2</v>
      </c>
      <c r="K124" s="6">
        <v>1</v>
      </c>
      <c r="L124" s="6">
        <v>15</v>
      </c>
      <c r="M124" s="6">
        <v>45098</v>
      </c>
      <c r="N124" s="6">
        <v>901960</v>
      </c>
      <c r="O124" s="6">
        <v>17</v>
      </c>
      <c r="P124" s="7">
        <v>391.93340000000001</v>
      </c>
      <c r="Q124" s="7">
        <v>1648.4475</v>
      </c>
      <c r="R124" s="9">
        <f>D124*VLOOKUP(1001,적!$A$4:$D$13,3,FALSE)</f>
        <v>12754.676288000001</v>
      </c>
      <c r="S124" s="9">
        <f>D124*VLOOKUP(F124,보스!$A$4:$E$5,4,FALSE)</f>
        <v>459168.34636800003</v>
      </c>
    </row>
    <row r="125" spans="1:19" ht="21.95" customHeight="1">
      <c r="A125" s="6">
        <v>5122</v>
      </c>
      <c r="B125" s="2" t="s">
        <v>273</v>
      </c>
      <c r="C125" s="6">
        <v>122</v>
      </c>
      <c r="D125" s="7">
        <v>6467.8568169600003</v>
      </c>
      <c r="E125" s="2" t="s">
        <v>152</v>
      </c>
      <c r="F125" s="6">
        <v>2002</v>
      </c>
      <c r="G125" s="6">
        <v>5</v>
      </c>
      <c r="H125" s="7">
        <v>30</v>
      </c>
      <c r="I125" s="6">
        <v>5</v>
      </c>
      <c r="J125" s="6">
        <v>2</v>
      </c>
      <c r="K125" s="6">
        <v>1</v>
      </c>
      <c r="L125" s="6">
        <v>15</v>
      </c>
      <c r="M125" s="6">
        <v>45513</v>
      </c>
      <c r="N125" s="6">
        <v>910260</v>
      </c>
      <c r="O125" s="6">
        <v>17</v>
      </c>
      <c r="P125" s="7">
        <v>396.68184000000002</v>
      </c>
      <c r="Q125" s="7">
        <v>1668.4146000000001</v>
      </c>
      <c r="R125" s="9">
        <f>D125*VLOOKUP(1001,적!$A$4:$D$13,3,FALSE)</f>
        <v>12935.713633920001</v>
      </c>
      <c r="S125" s="9">
        <f>D125*VLOOKUP(F125,보스!$A$4:$E$5,4,FALSE)</f>
        <v>465685.69082112005</v>
      </c>
    </row>
    <row r="126" spans="1:19" ht="21.95" customHeight="1">
      <c r="A126" s="6">
        <v>5123</v>
      </c>
      <c r="B126" s="2" t="s">
        <v>274</v>
      </c>
      <c r="C126" s="6">
        <v>123</v>
      </c>
      <c r="D126" s="7">
        <v>6559.0908823999998</v>
      </c>
      <c r="E126" s="2" t="s">
        <v>152</v>
      </c>
      <c r="F126" s="6">
        <v>2001</v>
      </c>
      <c r="G126" s="6">
        <v>5</v>
      </c>
      <c r="H126" s="7">
        <v>30</v>
      </c>
      <c r="I126" s="6">
        <v>5</v>
      </c>
      <c r="J126" s="6">
        <v>2</v>
      </c>
      <c r="K126" s="6">
        <v>1</v>
      </c>
      <c r="L126" s="6">
        <v>15</v>
      </c>
      <c r="M126" s="6">
        <v>45929</v>
      </c>
      <c r="N126" s="6">
        <v>918580</v>
      </c>
      <c r="O126" s="6">
        <v>17</v>
      </c>
      <c r="P126" s="7">
        <v>401.45492000000002</v>
      </c>
      <c r="Q126" s="7">
        <v>1688.4853000000001</v>
      </c>
      <c r="R126" s="9">
        <f>D126*VLOOKUP(1001,적!$A$4:$D$13,3,FALSE)</f>
        <v>13118.1817648</v>
      </c>
      <c r="S126" s="9">
        <f>D126*VLOOKUP(F126,보스!$A$4:$E$5,4,FALSE)</f>
        <v>472254.54353279999</v>
      </c>
    </row>
    <row r="127" spans="1:19" ht="21.95" customHeight="1">
      <c r="A127" s="6">
        <v>5124</v>
      </c>
      <c r="B127" s="2" t="s">
        <v>275</v>
      </c>
      <c r="C127" s="6">
        <v>124</v>
      </c>
      <c r="D127" s="7">
        <v>6651.0432383199995</v>
      </c>
      <c r="E127" s="2" t="s">
        <v>152</v>
      </c>
      <c r="F127" s="6">
        <v>2002</v>
      </c>
      <c r="G127" s="6">
        <v>5</v>
      </c>
      <c r="H127" s="7">
        <v>30</v>
      </c>
      <c r="I127" s="6">
        <v>5</v>
      </c>
      <c r="J127" s="6">
        <v>2</v>
      </c>
      <c r="K127" s="6">
        <v>1</v>
      </c>
      <c r="L127" s="6">
        <v>15</v>
      </c>
      <c r="M127" s="6">
        <v>46345</v>
      </c>
      <c r="N127" s="6">
        <v>926900</v>
      </c>
      <c r="O127" s="6">
        <v>17</v>
      </c>
      <c r="P127" s="7">
        <v>406.25263999999999</v>
      </c>
      <c r="Q127" s="7">
        <v>1708.6596</v>
      </c>
      <c r="R127" s="9">
        <f>D127*VLOOKUP(1001,적!$A$4:$D$13,3,FALSE)</f>
        <v>13302.086476639999</v>
      </c>
      <c r="S127" s="9">
        <f>D127*VLOOKUP(F127,보스!$A$4:$E$5,4,FALSE)</f>
        <v>478875.11315903999</v>
      </c>
    </row>
    <row r="128" spans="1:19" ht="21.95" customHeight="1">
      <c r="A128" s="6">
        <v>5125</v>
      </c>
      <c r="B128" s="2" t="s">
        <v>276</v>
      </c>
      <c r="C128" s="6">
        <v>125</v>
      </c>
      <c r="D128" s="7">
        <v>6743.7168000000001</v>
      </c>
      <c r="E128" s="2" t="s">
        <v>152</v>
      </c>
      <c r="F128" s="6">
        <v>2001</v>
      </c>
      <c r="G128" s="6">
        <v>5</v>
      </c>
      <c r="H128" s="7">
        <v>30</v>
      </c>
      <c r="I128" s="6">
        <v>5</v>
      </c>
      <c r="J128" s="6">
        <v>2</v>
      </c>
      <c r="K128" s="6">
        <v>1</v>
      </c>
      <c r="L128" s="6">
        <v>15</v>
      </c>
      <c r="M128" s="6">
        <v>46761</v>
      </c>
      <c r="N128" s="6">
        <v>935220</v>
      </c>
      <c r="O128" s="6">
        <v>17</v>
      </c>
      <c r="P128" s="7">
        <v>411.07499999999999</v>
      </c>
      <c r="Q128" s="7">
        <v>1728.9375</v>
      </c>
      <c r="R128" s="9">
        <f>D128*VLOOKUP(1001,적!$A$4:$D$13,3,FALSE)</f>
        <v>13487.4336</v>
      </c>
      <c r="S128" s="9">
        <f>D128*VLOOKUP(F128,보스!$A$4:$E$5,4,FALSE)</f>
        <v>485547.60960000003</v>
      </c>
    </row>
    <row r="129" spans="1:19" ht="21.95" customHeight="1">
      <c r="A129" s="6">
        <v>5126</v>
      </c>
      <c r="B129" s="2" t="s">
        <v>277</v>
      </c>
      <c r="C129" s="6">
        <v>126</v>
      </c>
      <c r="D129" s="7">
        <v>6837.1144999999997</v>
      </c>
      <c r="E129" s="2" t="s">
        <v>152</v>
      </c>
      <c r="F129" s="6">
        <v>2002</v>
      </c>
      <c r="G129" s="6">
        <v>5</v>
      </c>
      <c r="H129" s="7">
        <v>30</v>
      </c>
      <c r="I129" s="6">
        <v>5</v>
      </c>
      <c r="J129" s="6">
        <v>2</v>
      </c>
      <c r="K129" s="6">
        <v>1</v>
      </c>
      <c r="L129" s="6">
        <v>15</v>
      </c>
      <c r="M129" s="6">
        <v>47176</v>
      </c>
      <c r="N129" s="6">
        <v>943520</v>
      </c>
      <c r="O129" s="6">
        <v>17</v>
      </c>
      <c r="P129" s="7">
        <v>415.92200000000003</v>
      </c>
      <c r="Q129" s="7">
        <v>1749.319</v>
      </c>
      <c r="R129" s="9">
        <f>D129*VLOOKUP(1001,적!$A$4:$D$13,3,FALSE)</f>
        <v>13674.228999999999</v>
      </c>
      <c r="S129" s="9">
        <f>D129*VLOOKUP(F129,보스!$A$4:$E$5,4,FALSE)</f>
        <v>492272.24399999995</v>
      </c>
    </row>
    <row r="130" spans="1:19" ht="21.95" customHeight="1">
      <c r="A130" s="6">
        <v>5127</v>
      </c>
      <c r="B130" s="2" t="s">
        <v>278</v>
      </c>
      <c r="C130" s="6">
        <v>127</v>
      </c>
      <c r="D130" s="7">
        <v>6931.2392881599999</v>
      </c>
      <c r="E130" s="2" t="s">
        <v>152</v>
      </c>
      <c r="F130" s="6">
        <v>2001</v>
      </c>
      <c r="G130" s="6">
        <v>5</v>
      </c>
      <c r="H130" s="7">
        <v>30</v>
      </c>
      <c r="I130" s="6">
        <v>5</v>
      </c>
      <c r="J130" s="6">
        <v>2</v>
      </c>
      <c r="K130" s="6">
        <v>1</v>
      </c>
      <c r="L130" s="6">
        <v>15</v>
      </c>
      <c r="M130" s="6">
        <v>47591</v>
      </c>
      <c r="N130" s="6">
        <v>951820</v>
      </c>
      <c r="O130" s="6">
        <v>17</v>
      </c>
      <c r="P130" s="7">
        <v>420.79363999999998</v>
      </c>
      <c r="Q130" s="7">
        <v>1769.8041000000001</v>
      </c>
      <c r="R130" s="9">
        <f>D130*VLOOKUP(1001,적!$A$4:$D$13,3,FALSE)</f>
        <v>13862.47857632</v>
      </c>
      <c r="S130" s="9">
        <f>D130*VLOOKUP(F130,보스!$A$4:$E$5,4,FALSE)</f>
        <v>499049.22874752001</v>
      </c>
    </row>
    <row r="131" spans="1:19" ht="21.95" customHeight="1">
      <c r="A131" s="6">
        <v>5128</v>
      </c>
      <c r="B131" s="2" t="s">
        <v>279</v>
      </c>
      <c r="C131" s="6">
        <v>128</v>
      </c>
      <c r="D131" s="7">
        <v>7026.0941315999999</v>
      </c>
      <c r="E131" s="2" t="s">
        <v>152</v>
      </c>
      <c r="F131" s="6">
        <v>2002</v>
      </c>
      <c r="G131" s="6">
        <v>5</v>
      </c>
      <c r="H131" s="7">
        <v>30</v>
      </c>
      <c r="I131" s="6">
        <v>5</v>
      </c>
      <c r="J131" s="6">
        <v>2</v>
      </c>
      <c r="K131" s="6">
        <v>1</v>
      </c>
      <c r="L131" s="6">
        <v>15</v>
      </c>
      <c r="M131" s="6">
        <v>48007</v>
      </c>
      <c r="N131" s="6">
        <v>960140</v>
      </c>
      <c r="O131" s="6">
        <v>17</v>
      </c>
      <c r="P131" s="7">
        <v>425.68991999999997</v>
      </c>
      <c r="Q131" s="7">
        <v>1790.3928000000001</v>
      </c>
      <c r="R131" s="9">
        <f>D131*VLOOKUP(1001,적!$A$4:$D$13,3,FALSE)</f>
        <v>14052.1882632</v>
      </c>
      <c r="S131" s="9">
        <f>D131*VLOOKUP(F131,보스!$A$4:$E$5,4,FALSE)</f>
        <v>505878.77747520001</v>
      </c>
    </row>
    <row r="132" spans="1:19" ht="21.95" customHeight="1">
      <c r="A132" s="6">
        <v>5129</v>
      </c>
      <c r="B132" s="2" t="s">
        <v>280</v>
      </c>
      <c r="C132" s="6">
        <v>129</v>
      </c>
      <c r="D132" s="7">
        <v>7121.6820147199996</v>
      </c>
      <c r="E132" s="2" t="s">
        <v>152</v>
      </c>
      <c r="F132" s="6">
        <v>2001</v>
      </c>
      <c r="G132" s="6">
        <v>5</v>
      </c>
      <c r="H132" s="7">
        <v>30</v>
      </c>
      <c r="I132" s="6">
        <v>5</v>
      </c>
      <c r="J132" s="6">
        <v>2</v>
      </c>
      <c r="K132" s="6">
        <v>1</v>
      </c>
      <c r="L132" s="6">
        <v>15</v>
      </c>
      <c r="M132" s="6">
        <v>48422</v>
      </c>
      <c r="N132" s="6">
        <v>968440</v>
      </c>
      <c r="O132" s="6">
        <v>17</v>
      </c>
      <c r="P132" s="7">
        <v>430.61084</v>
      </c>
      <c r="Q132" s="7">
        <v>1811.0851</v>
      </c>
      <c r="R132" s="9">
        <f>D132*VLOOKUP(1001,적!$A$4:$D$13,3,FALSE)</f>
        <v>14243.364029439999</v>
      </c>
      <c r="S132" s="9">
        <f>D132*VLOOKUP(F132,보스!$A$4:$E$5,4,FALSE)</f>
        <v>512761.10505983996</v>
      </c>
    </row>
    <row r="133" spans="1:19" ht="21.95" customHeight="1">
      <c r="A133" s="6">
        <v>5130</v>
      </c>
      <c r="B133" s="2" t="s">
        <v>281</v>
      </c>
      <c r="C133" s="6">
        <v>130</v>
      </c>
      <c r="D133" s="7">
        <v>7218.0059392000003</v>
      </c>
      <c r="E133" s="2" t="s">
        <v>152</v>
      </c>
      <c r="F133" s="6">
        <v>2002</v>
      </c>
      <c r="G133" s="6">
        <v>5</v>
      </c>
      <c r="H133" s="7">
        <v>30</v>
      </c>
      <c r="I133" s="6">
        <v>5</v>
      </c>
      <c r="J133" s="6">
        <v>2</v>
      </c>
      <c r="K133" s="6">
        <v>1</v>
      </c>
      <c r="L133" s="6">
        <v>15</v>
      </c>
      <c r="M133" s="6">
        <v>48837</v>
      </c>
      <c r="N133" s="6">
        <v>976740</v>
      </c>
      <c r="O133" s="6">
        <v>18</v>
      </c>
      <c r="P133" s="7">
        <v>435.5564</v>
      </c>
      <c r="Q133" s="7">
        <v>1831.8810000000001</v>
      </c>
      <c r="R133" s="9">
        <f>D133*VLOOKUP(1001,적!$A$4:$D$13,3,FALSE)</f>
        <v>14436.011878400001</v>
      </c>
      <c r="S133" s="9">
        <f>D133*VLOOKUP(F133,보스!$A$4:$E$5,4,FALSE)</f>
        <v>519696.42762239999</v>
      </c>
    </row>
    <row r="134" spans="1:19" ht="21.95" customHeight="1">
      <c r="A134" s="6">
        <v>5131</v>
      </c>
      <c r="B134" s="2" t="s">
        <v>282</v>
      </c>
      <c r="C134" s="6">
        <v>131</v>
      </c>
      <c r="D134" s="7">
        <v>7315.0689240000002</v>
      </c>
      <c r="E134" s="2" t="s">
        <v>152</v>
      </c>
      <c r="F134" s="6">
        <v>2001</v>
      </c>
      <c r="G134" s="6">
        <v>5</v>
      </c>
      <c r="H134" s="7">
        <v>30</v>
      </c>
      <c r="I134" s="6">
        <v>5</v>
      </c>
      <c r="J134" s="6">
        <v>2</v>
      </c>
      <c r="K134" s="6">
        <v>1</v>
      </c>
      <c r="L134" s="6">
        <v>15</v>
      </c>
      <c r="M134" s="6">
        <v>49252</v>
      </c>
      <c r="N134" s="6">
        <v>985040</v>
      </c>
      <c r="O134" s="6">
        <v>18</v>
      </c>
      <c r="P134" s="7">
        <v>440.52659999999997</v>
      </c>
      <c r="Q134" s="7">
        <v>1852.7805000000001</v>
      </c>
      <c r="R134" s="9">
        <f>D134*VLOOKUP(1001,적!$A$4:$D$13,3,FALSE)</f>
        <v>14630.137848</v>
      </c>
      <c r="S134" s="9">
        <f>D134*VLOOKUP(F134,보스!$A$4:$E$5,4,FALSE)</f>
        <v>526684.962528</v>
      </c>
    </row>
    <row r="135" spans="1:19" ht="21.95" customHeight="1">
      <c r="A135" s="6">
        <v>5132</v>
      </c>
      <c r="B135" s="2" t="s">
        <v>283</v>
      </c>
      <c r="C135" s="6">
        <v>132</v>
      </c>
      <c r="D135" s="7">
        <v>7412.8740053600004</v>
      </c>
      <c r="E135" s="2" t="s">
        <v>152</v>
      </c>
      <c r="F135" s="6">
        <v>2002</v>
      </c>
      <c r="G135" s="6">
        <v>5</v>
      </c>
      <c r="H135" s="7">
        <v>30</v>
      </c>
      <c r="I135" s="6">
        <v>5</v>
      </c>
      <c r="J135" s="6">
        <v>2</v>
      </c>
      <c r="K135" s="6">
        <v>1</v>
      </c>
      <c r="L135" s="6">
        <v>15</v>
      </c>
      <c r="M135" s="6">
        <v>49667</v>
      </c>
      <c r="N135" s="6">
        <v>993340</v>
      </c>
      <c r="O135" s="6">
        <v>18</v>
      </c>
      <c r="P135" s="7">
        <v>445.52143999999998</v>
      </c>
      <c r="Q135" s="7">
        <v>1873.7836</v>
      </c>
      <c r="R135" s="9">
        <f>D135*VLOOKUP(1001,적!$A$4:$D$13,3,FALSE)</f>
        <v>14825.748010720001</v>
      </c>
      <c r="S135" s="9">
        <f>D135*VLOOKUP(F135,보스!$A$4:$E$5,4,FALSE)</f>
        <v>533726.92838592001</v>
      </c>
    </row>
    <row r="136" spans="1:19" ht="21.95" customHeight="1">
      <c r="A136" s="6">
        <v>5133</v>
      </c>
      <c r="B136" s="2" t="s">
        <v>284</v>
      </c>
      <c r="C136" s="6">
        <v>133</v>
      </c>
      <c r="D136" s="7">
        <v>7511.4242367999996</v>
      </c>
      <c r="E136" s="2" t="s">
        <v>152</v>
      </c>
      <c r="F136" s="6">
        <v>2001</v>
      </c>
      <c r="G136" s="6">
        <v>5</v>
      </c>
      <c r="H136" s="7">
        <v>30</v>
      </c>
      <c r="I136" s="6">
        <v>5</v>
      </c>
      <c r="J136" s="6">
        <v>2</v>
      </c>
      <c r="K136" s="6">
        <v>1</v>
      </c>
      <c r="L136" s="6">
        <v>15</v>
      </c>
      <c r="M136" s="6">
        <v>50082</v>
      </c>
      <c r="N136" s="6">
        <v>1001640</v>
      </c>
      <c r="O136" s="6">
        <v>18</v>
      </c>
      <c r="P136" s="7">
        <v>450.54092000000003</v>
      </c>
      <c r="Q136" s="7">
        <v>1894.8903</v>
      </c>
      <c r="R136" s="9">
        <f>D136*VLOOKUP(1001,적!$A$4:$D$13,3,FALSE)</f>
        <v>15022.848473599999</v>
      </c>
      <c r="S136" s="9">
        <f>D136*VLOOKUP(F136,보스!$A$4:$E$5,4,FALSE)</f>
        <v>540822.54504959995</v>
      </c>
    </row>
    <row r="137" spans="1:19" ht="21.95" customHeight="1">
      <c r="A137" s="6">
        <v>5134</v>
      </c>
      <c r="B137" s="2" t="s">
        <v>285</v>
      </c>
      <c r="C137" s="6">
        <v>134</v>
      </c>
      <c r="D137" s="7">
        <v>7610.7226891199998</v>
      </c>
      <c r="E137" s="2" t="s">
        <v>152</v>
      </c>
      <c r="F137" s="6">
        <v>2002</v>
      </c>
      <c r="G137" s="6">
        <v>5</v>
      </c>
      <c r="H137" s="7">
        <v>30</v>
      </c>
      <c r="I137" s="6">
        <v>5</v>
      </c>
      <c r="J137" s="6">
        <v>2</v>
      </c>
      <c r="K137" s="6">
        <v>1</v>
      </c>
      <c r="L137" s="6">
        <v>15</v>
      </c>
      <c r="M137" s="6">
        <v>50497</v>
      </c>
      <c r="N137" s="6">
        <v>1009940</v>
      </c>
      <c r="O137" s="6">
        <v>18</v>
      </c>
      <c r="P137" s="7">
        <v>455.58503999999999</v>
      </c>
      <c r="Q137" s="7">
        <v>1916.1006</v>
      </c>
      <c r="R137" s="9">
        <f>D137*VLOOKUP(1001,적!$A$4:$D$13,3,FALSE)</f>
        <v>15221.44537824</v>
      </c>
      <c r="S137" s="9">
        <f>D137*VLOOKUP(F137,보스!$A$4:$E$5,4,FALSE)</f>
        <v>547972.03361664002</v>
      </c>
    </row>
    <row r="138" spans="1:19" ht="21.95" customHeight="1">
      <c r="A138" s="6">
        <v>5135</v>
      </c>
      <c r="B138" s="2" t="s">
        <v>286</v>
      </c>
      <c r="C138" s="6">
        <v>135</v>
      </c>
      <c r="D138" s="7">
        <v>7710.7724503999998</v>
      </c>
      <c r="E138" s="2" t="s">
        <v>152</v>
      </c>
      <c r="F138" s="6">
        <v>2001</v>
      </c>
      <c r="G138" s="6">
        <v>5</v>
      </c>
      <c r="H138" s="7">
        <v>30</v>
      </c>
      <c r="I138" s="6">
        <v>5</v>
      </c>
      <c r="J138" s="6">
        <v>2</v>
      </c>
      <c r="K138" s="6">
        <v>1</v>
      </c>
      <c r="L138" s="6">
        <v>15</v>
      </c>
      <c r="M138" s="6">
        <v>50911</v>
      </c>
      <c r="N138" s="6">
        <v>1018220</v>
      </c>
      <c r="O138" s="6">
        <v>18</v>
      </c>
      <c r="P138" s="7">
        <v>460.65379999999999</v>
      </c>
      <c r="Q138" s="7">
        <v>1937.4145000000001</v>
      </c>
      <c r="R138" s="9">
        <f>D138*VLOOKUP(1001,적!$A$4:$D$13,3,FALSE)</f>
        <v>15421.5449008</v>
      </c>
      <c r="S138" s="9">
        <f>D138*VLOOKUP(F138,보스!$A$4:$E$5,4,FALSE)</f>
        <v>555175.61642879993</v>
      </c>
    </row>
    <row r="139" spans="1:19" ht="21.95" customHeight="1">
      <c r="A139" s="6">
        <v>5136</v>
      </c>
      <c r="B139" s="2" t="s">
        <v>287</v>
      </c>
      <c r="C139" s="6">
        <v>136</v>
      </c>
      <c r="D139" s="7">
        <v>7811.576626</v>
      </c>
      <c r="E139" s="2" t="s">
        <v>152</v>
      </c>
      <c r="F139" s="6">
        <v>2002</v>
      </c>
      <c r="G139" s="6">
        <v>5</v>
      </c>
      <c r="H139" s="7">
        <v>30</v>
      </c>
      <c r="I139" s="6">
        <v>5</v>
      </c>
      <c r="J139" s="6">
        <v>2</v>
      </c>
      <c r="K139" s="6">
        <v>1</v>
      </c>
      <c r="L139" s="6">
        <v>15</v>
      </c>
      <c r="M139" s="6">
        <v>51326</v>
      </c>
      <c r="N139" s="6">
        <v>1026520</v>
      </c>
      <c r="O139" s="6">
        <v>18</v>
      </c>
      <c r="P139" s="7">
        <v>465.74720000000002</v>
      </c>
      <c r="Q139" s="7">
        <v>1958.8320000000001</v>
      </c>
      <c r="R139" s="9">
        <f>D139*VLOOKUP(1001,적!$A$4:$D$13,3,FALSE)</f>
        <v>15623.153252</v>
      </c>
      <c r="S139" s="9">
        <f>D139*VLOOKUP(F139,보스!$A$4:$E$5,4,FALSE)</f>
        <v>562433.51707199996</v>
      </c>
    </row>
    <row r="140" spans="1:19" ht="21.95" customHeight="1">
      <c r="A140" s="6">
        <v>5137</v>
      </c>
      <c r="B140" s="2" t="s">
        <v>288</v>
      </c>
      <c r="C140" s="6">
        <v>137</v>
      </c>
      <c r="D140" s="7">
        <v>7913.1383385600002</v>
      </c>
      <c r="E140" s="2" t="s">
        <v>152</v>
      </c>
      <c r="F140" s="6">
        <v>2001</v>
      </c>
      <c r="G140" s="6">
        <v>5</v>
      </c>
      <c r="H140" s="7">
        <v>30</v>
      </c>
      <c r="I140" s="6">
        <v>5</v>
      </c>
      <c r="J140" s="6">
        <v>2</v>
      </c>
      <c r="K140" s="6">
        <v>1</v>
      </c>
      <c r="L140" s="6">
        <v>15</v>
      </c>
      <c r="M140" s="6">
        <v>51741</v>
      </c>
      <c r="N140" s="6">
        <v>1034820</v>
      </c>
      <c r="O140" s="6">
        <v>18</v>
      </c>
      <c r="P140" s="7">
        <v>470.86523999999997</v>
      </c>
      <c r="Q140" s="7">
        <v>1980.3531</v>
      </c>
      <c r="R140" s="9">
        <f>D140*VLOOKUP(1001,적!$A$4:$D$13,3,FALSE)</f>
        <v>15826.27667712</v>
      </c>
      <c r="S140" s="9">
        <f>D140*VLOOKUP(F140,보스!$A$4:$E$5,4,FALSE)</f>
        <v>569745.96037632006</v>
      </c>
    </row>
    <row r="141" spans="1:19" ht="21.95" customHeight="1">
      <c r="A141" s="6">
        <v>5138</v>
      </c>
      <c r="B141" s="2" t="s">
        <v>289</v>
      </c>
      <c r="C141" s="6">
        <v>138</v>
      </c>
      <c r="D141" s="7">
        <v>8015.460728</v>
      </c>
      <c r="E141" s="2" t="s">
        <v>152</v>
      </c>
      <c r="F141" s="6">
        <v>2002</v>
      </c>
      <c r="G141" s="6">
        <v>5</v>
      </c>
      <c r="H141" s="7">
        <v>30</v>
      </c>
      <c r="I141" s="6">
        <v>5</v>
      </c>
      <c r="J141" s="6">
        <v>2</v>
      </c>
      <c r="K141" s="6">
        <v>1</v>
      </c>
      <c r="L141" s="6">
        <v>15</v>
      </c>
      <c r="M141" s="6">
        <v>52155</v>
      </c>
      <c r="N141" s="6">
        <v>1043100</v>
      </c>
      <c r="O141" s="6">
        <v>18</v>
      </c>
      <c r="P141" s="7">
        <v>476.00792000000001</v>
      </c>
      <c r="Q141" s="7">
        <v>2001.9777999999999</v>
      </c>
      <c r="R141" s="9">
        <f>D141*VLOOKUP(1001,적!$A$4:$D$13,3,FALSE)</f>
        <v>16030.921456</v>
      </c>
      <c r="S141" s="9">
        <f>D141*VLOOKUP(F141,보스!$A$4:$E$5,4,FALSE)</f>
        <v>577113.17241600004</v>
      </c>
    </row>
    <row r="142" spans="1:19" ht="21.95" customHeight="1">
      <c r="A142" s="6">
        <v>5139</v>
      </c>
      <c r="B142" s="2" t="s">
        <v>290</v>
      </c>
      <c r="C142" s="6">
        <v>139</v>
      </c>
      <c r="D142" s="7">
        <v>8118.5469515200002</v>
      </c>
      <c r="E142" s="2" t="s">
        <v>152</v>
      </c>
      <c r="F142" s="6">
        <v>2001</v>
      </c>
      <c r="G142" s="6">
        <v>5</v>
      </c>
      <c r="H142" s="7">
        <v>30</v>
      </c>
      <c r="I142" s="6">
        <v>5</v>
      </c>
      <c r="J142" s="6">
        <v>2</v>
      </c>
      <c r="K142" s="6">
        <v>1</v>
      </c>
      <c r="L142" s="6">
        <v>15</v>
      </c>
      <c r="M142" s="6">
        <v>52569</v>
      </c>
      <c r="N142" s="6">
        <v>1051380</v>
      </c>
      <c r="O142" s="6">
        <v>18</v>
      </c>
      <c r="P142" s="7">
        <v>481.17523999999997</v>
      </c>
      <c r="Q142" s="7">
        <v>2023.7061000000001</v>
      </c>
      <c r="R142" s="9">
        <f>D142*VLOOKUP(1001,적!$A$4:$D$13,3,FALSE)</f>
        <v>16237.09390304</v>
      </c>
      <c r="S142" s="9">
        <f>D142*VLOOKUP(F142,보스!$A$4:$E$5,4,FALSE)</f>
        <v>584535.38050943997</v>
      </c>
    </row>
    <row r="143" spans="1:19" ht="21.95" customHeight="1">
      <c r="A143" s="6">
        <v>5140</v>
      </c>
      <c r="B143" s="2" t="s">
        <v>291</v>
      </c>
      <c r="C143" s="6">
        <v>140</v>
      </c>
      <c r="D143" s="7">
        <v>8222.4001836000007</v>
      </c>
      <c r="E143" s="2" t="s">
        <v>152</v>
      </c>
      <c r="F143" s="6">
        <v>2002</v>
      </c>
      <c r="G143" s="6">
        <v>5</v>
      </c>
      <c r="H143" s="7">
        <v>30</v>
      </c>
      <c r="I143" s="6">
        <v>5</v>
      </c>
      <c r="J143" s="6">
        <v>2</v>
      </c>
      <c r="K143" s="6">
        <v>1</v>
      </c>
      <c r="L143" s="6">
        <v>15</v>
      </c>
      <c r="M143" s="6">
        <v>52984</v>
      </c>
      <c r="N143" s="6">
        <v>1059680</v>
      </c>
      <c r="O143" s="6">
        <v>19</v>
      </c>
      <c r="P143" s="7">
        <v>486.36720000000003</v>
      </c>
      <c r="Q143" s="7">
        <v>2045.538</v>
      </c>
      <c r="R143" s="9">
        <f>D143*VLOOKUP(1001,적!$A$4:$D$13,3,FALSE)</f>
        <v>16444.800367200001</v>
      </c>
      <c r="S143" s="9">
        <f>D143*VLOOKUP(F143,보스!$A$4:$E$5,4,FALSE)</f>
        <v>592012.8132192</v>
      </c>
    </row>
    <row r="144" spans="1:19" ht="21.95" customHeight="1">
      <c r="A144" s="6">
        <v>5141</v>
      </c>
      <c r="B144" s="2" t="s">
        <v>292</v>
      </c>
      <c r="C144" s="6">
        <v>141</v>
      </c>
      <c r="D144" s="7">
        <v>8327.0236160000004</v>
      </c>
      <c r="E144" s="2" t="s">
        <v>152</v>
      </c>
      <c r="F144" s="6">
        <v>2001</v>
      </c>
      <c r="G144" s="6">
        <v>5</v>
      </c>
      <c r="H144" s="7">
        <v>30</v>
      </c>
      <c r="I144" s="6">
        <v>5</v>
      </c>
      <c r="J144" s="6">
        <v>2</v>
      </c>
      <c r="K144" s="6">
        <v>1</v>
      </c>
      <c r="L144" s="6">
        <v>15</v>
      </c>
      <c r="M144" s="6">
        <v>53398</v>
      </c>
      <c r="N144" s="6">
        <v>1067960</v>
      </c>
      <c r="O144" s="6">
        <v>19</v>
      </c>
      <c r="P144" s="7">
        <v>491.5838</v>
      </c>
      <c r="Q144" s="7">
        <v>2067.4735000000001</v>
      </c>
      <c r="R144" s="9">
        <f>D144*VLOOKUP(1001,적!$A$4:$D$13,3,FALSE)</f>
        <v>16654.047232000001</v>
      </c>
      <c r="S144" s="9">
        <f>D144*VLOOKUP(F144,보스!$A$4:$E$5,4,FALSE)</f>
        <v>599545.70035200007</v>
      </c>
    </row>
    <row r="145" spans="1:19" ht="21.95" customHeight="1">
      <c r="A145" s="6">
        <v>5142</v>
      </c>
      <c r="B145" s="2" t="s">
        <v>293</v>
      </c>
      <c r="C145" s="6">
        <v>142</v>
      </c>
      <c r="D145" s="7">
        <v>8432.4204577599994</v>
      </c>
      <c r="E145" s="2" t="s">
        <v>152</v>
      </c>
      <c r="F145" s="6">
        <v>2002</v>
      </c>
      <c r="G145" s="6">
        <v>5</v>
      </c>
      <c r="H145" s="7">
        <v>30</v>
      </c>
      <c r="I145" s="6">
        <v>5</v>
      </c>
      <c r="J145" s="6">
        <v>2</v>
      </c>
      <c r="K145" s="6">
        <v>1</v>
      </c>
      <c r="L145" s="6">
        <v>15</v>
      </c>
      <c r="M145" s="6">
        <v>53812</v>
      </c>
      <c r="N145" s="6">
        <v>1076240</v>
      </c>
      <c r="O145" s="6">
        <v>19</v>
      </c>
      <c r="P145" s="7">
        <v>496.82504</v>
      </c>
      <c r="Q145" s="7">
        <v>2089.5126</v>
      </c>
      <c r="R145" s="9">
        <f>D145*VLOOKUP(1001,적!$A$4:$D$13,3,FALSE)</f>
        <v>16864.840915519999</v>
      </c>
      <c r="S145" s="9">
        <f>D145*VLOOKUP(F145,보스!$A$4:$E$5,4,FALSE)</f>
        <v>607134.27295871999</v>
      </c>
    </row>
    <row r="146" spans="1:19" ht="21.95" customHeight="1">
      <c r="A146" s="6">
        <v>5143</v>
      </c>
      <c r="B146" s="2" t="s">
        <v>294</v>
      </c>
      <c r="C146" s="6">
        <v>143</v>
      </c>
      <c r="D146" s="7">
        <v>8538.5939352000005</v>
      </c>
      <c r="E146" s="2" t="s">
        <v>152</v>
      </c>
      <c r="F146" s="6">
        <v>2001</v>
      </c>
      <c r="G146" s="6">
        <v>5</v>
      </c>
      <c r="H146" s="7">
        <v>30</v>
      </c>
      <c r="I146" s="6">
        <v>5</v>
      </c>
      <c r="J146" s="6">
        <v>2</v>
      </c>
      <c r="K146" s="6">
        <v>1</v>
      </c>
      <c r="L146" s="6">
        <v>15</v>
      </c>
      <c r="M146" s="6">
        <v>54226</v>
      </c>
      <c r="N146" s="6">
        <v>1084520</v>
      </c>
      <c r="O146" s="6">
        <v>19</v>
      </c>
      <c r="P146" s="7">
        <v>502.09091999999998</v>
      </c>
      <c r="Q146" s="7">
        <v>2111.6552999999999</v>
      </c>
      <c r="R146" s="9">
        <f>D146*VLOOKUP(1001,적!$A$4:$D$13,3,FALSE)</f>
        <v>17077.187870400001</v>
      </c>
      <c r="S146" s="9">
        <f>D146*VLOOKUP(F146,보스!$A$4:$E$5,4,FALSE)</f>
        <v>614778.76333440002</v>
      </c>
    </row>
    <row r="147" spans="1:19" ht="21.95" customHeight="1">
      <c r="A147" s="6">
        <v>5144</v>
      </c>
      <c r="B147" s="2" t="s">
        <v>295</v>
      </c>
      <c r="C147" s="6">
        <v>144</v>
      </c>
      <c r="D147" s="7">
        <v>8645.5472919200001</v>
      </c>
      <c r="E147" s="2" t="s">
        <v>152</v>
      </c>
      <c r="F147" s="6">
        <v>2002</v>
      </c>
      <c r="G147" s="6">
        <v>5</v>
      </c>
      <c r="H147" s="7">
        <v>30</v>
      </c>
      <c r="I147" s="6">
        <v>5</v>
      </c>
      <c r="J147" s="6">
        <v>2</v>
      </c>
      <c r="K147" s="6">
        <v>1</v>
      </c>
      <c r="L147" s="6">
        <v>15</v>
      </c>
      <c r="M147" s="6">
        <v>54640</v>
      </c>
      <c r="N147" s="6">
        <v>1092800</v>
      </c>
      <c r="O147" s="6">
        <v>19</v>
      </c>
      <c r="P147" s="7">
        <v>507.38144</v>
      </c>
      <c r="Q147" s="7">
        <v>2133.9016000000001</v>
      </c>
      <c r="R147" s="9">
        <f>D147*VLOOKUP(1001,적!$A$4:$D$13,3,FALSE)</f>
        <v>17291.09458384</v>
      </c>
      <c r="S147" s="9">
        <f>D147*VLOOKUP(F147,보스!$A$4:$E$5,4,FALSE)</f>
        <v>622479.40501823998</v>
      </c>
    </row>
    <row r="148" spans="1:19" ht="21.95" customHeight="1">
      <c r="A148" s="6">
        <v>5145</v>
      </c>
      <c r="B148" s="2" t="s">
        <v>296</v>
      </c>
      <c r="C148" s="6">
        <v>145</v>
      </c>
      <c r="D148" s="7">
        <v>8753.2837887999995</v>
      </c>
      <c r="E148" s="2" t="s">
        <v>152</v>
      </c>
      <c r="F148" s="6">
        <v>2001</v>
      </c>
      <c r="G148" s="6">
        <v>5</v>
      </c>
      <c r="H148" s="7">
        <v>30</v>
      </c>
      <c r="I148" s="6">
        <v>5</v>
      </c>
      <c r="J148" s="6">
        <v>2</v>
      </c>
      <c r="K148" s="6">
        <v>1</v>
      </c>
      <c r="L148" s="6">
        <v>15</v>
      </c>
      <c r="M148" s="6">
        <v>55054</v>
      </c>
      <c r="N148" s="6">
        <v>1101080</v>
      </c>
      <c r="O148" s="6">
        <v>19</v>
      </c>
      <c r="P148" s="7">
        <v>512.69659999999999</v>
      </c>
      <c r="Q148" s="7">
        <v>2156.2514999999999</v>
      </c>
      <c r="R148" s="9">
        <f>D148*VLOOKUP(1001,적!$A$4:$D$13,3,FALSE)</f>
        <v>17506.567577599999</v>
      </c>
      <c r="S148" s="9">
        <f>D148*VLOOKUP(F148,보스!$A$4:$E$5,4,FALSE)</f>
        <v>630236.43279360002</v>
      </c>
    </row>
    <row r="149" spans="1:19" ht="21.95" customHeight="1">
      <c r="A149" s="6">
        <v>5146</v>
      </c>
      <c r="B149" s="2" t="s">
        <v>297</v>
      </c>
      <c r="C149" s="6">
        <v>146</v>
      </c>
      <c r="D149" s="7">
        <v>8861.8067040000005</v>
      </c>
      <c r="E149" s="2" t="s">
        <v>152</v>
      </c>
      <c r="F149" s="6">
        <v>2002</v>
      </c>
      <c r="G149" s="6">
        <v>5</v>
      </c>
      <c r="H149" s="7">
        <v>30</v>
      </c>
      <c r="I149" s="6">
        <v>5</v>
      </c>
      <c r="J149" s="6">
        <v>2</v>
      </c>
      <c r="K149" s="6">
        <v>1</v>
      </c>
      <c r="L149" s="6">
        <v>15</v>
      </c>
      <c r="M149" s="6">
        <v>55468</v>
      </c>
      <c r="N149" s="6">
        <v>1109360</v>
      </c>
      <c r="O149" s="6">
        <v>19</v>
      </c>
      <c r="P149" s="7">
        <v>518.03639999999996</v>
      </c>
      <c r="Q149" s="7">
        <v>2178.7049999999999</v>
      </c>
      <c r="R149" s="9">
        <f>D149*VLOOKUP(1001,적!$A$4:$D$13,3,FALSE)</f>
        <v>17723.613408000001</v>
      </c>
      <c r="S149" s="9">
        <f>D149*VLOOKUP(F149,보스!$A$4:$E$5,4,FALSE)</f>
        <v>638050.08268800005</v>
      </c>
    </row>
    <row r="150" spans="1:19" ht="21.95" customHeight="1">
      <c r="A150" s="6">
        <v>5147</v>
      </c>
      <c r="B150" s="2" t="s">
        <v>298</v>
      </c>
      <c r="C150" s="6">
        <v>147</v>
      </c>
      <c r="D150" s="7">
        <v>8971.1193329599992</v>
      </c>
      <c r="E150" s="2" t="s">
        <v>152</v>
      </c>
      <c r="F150" s="6">
        <v>2001</v>
      </c>
      <c r="G150" s="6">
        <v>5</v>
      </c>
      <c r="H150" s="7">
        <v>30</v>
      </c>
      <c r="I150" s="6">
        <v>5</v>
      </c>
      <c r="J150" s="6">
        <v>2</v>
      </c>
      <c r="K150" s="6">
        <v>1</v>
      </c>
      <c r="L150" s="6">
        <v>15</v>
      </c>
      <c r="M150" s="6">
        <v>55881</v>
      </c>
      <c r="N150" s="6">
        <v>1117620</v>
      </c>
      <c r="O150" s="6">
        <v>19</v>
      </c>
      <c r="P150" s="7">
        <v>523.40084000000002</v>
      </c>
      <c r="Q150" s="7">
        <v>2201.2620999999999</v>
      </c>
      <c r="R150" s="9">
        <f>D150*VLOOKUP(1001,적!$A$4:$D$13,3,FALSE)</f>
        <v>17942.238665919998</v>
      </c>
      <c r="S150" s="9">
        <f>D150*VLOOKUP(F150,보스!$A$4:$E$5,4,FALSE)</f>
        <v>645920.59197311988</v>
      </c>
    </row>
    <row r="151" spans="1:19" ht="21.95" customHeight="1">
      <c r="A151" s="6">
        <v>5148</v>
      </c>
      <c r="B151" s="2" t="s">
        <v>299</v>
      </c>
      <c r="C151" s="6">
        <v>148</v>
      </c>
      <c r="D151" s="7">
        <v>9081.2249883999993</v>
      </c>
      <c r="E151" s="2" t="s">
        <v>152</v>
      </c>
      <c r="F151" s="6">
        <v>2002</v>
      </c>
      <c r="G151" s="6">
        <v>5</v>
      </c>
      <c r="H151" s="7">
        <v>30</v>
      </c>
      <c r="I151" s="6">
        <v>5</v>
      </c>
      <c r="J151" s="6">
        <v>2</v>
      </c>
      <c r="K151" s="6">
        <v>1</v>
      </c>
      <c r="L151" s="6">
        <v>15</v>
      </c>
      <c r="M151" s="6">
        <v>56295</v>
      </c>
      <c r="N151" s="6">
        <v>1125900</v>
      </c>
      <c r="O151" s="6">
        <v>19</v>
      </c>
      <c r="P151" s="7">
        <v>528.78992000000005</v>
      </c>
      <c r="Q151" s="7">
        <v>2223.9227999999998</v>
      </c>
      <c r="R151" s="9">
        <f>D151*VLOOKUP(1001,적!$A$4:$D$13,3,FALSE)</f>
        <v>18162.449976799999</v>
      </c>
      <c r="S151" s="9">
        <f>D151*VLOOKUP(F151,보스!$A$4:$E$5,4,FALSE)</f>
        <v>653848.1991648</v>
      </c>
    </row>
    <row r="152" spans="1:19" ht="21.95" customHeight="1">
      <c r="A152" s="6">
        <v>5149</v>
      </c>
      <c r="B152" s="2" t="s">
        <v>300</v>
      </c>
      <c r="C152" s="6">
        <v>149</v>
      </c>
      <c r="D152" s="7">
        <v>9192.1270003200007</v>
      </c>
      <c r="E152" s="2" t="s">
        <v>152</v>
      </c>
      <c r="F152" s="6">
        <v>2001</v>
      </c>
      <c r="G152" s="6">
        <v>5</v>
      </c>
      <c r="H152" s="7">
        <v>30</v>
      </c>
      <c r="I152" s="6">
        <v>5</v>
      </c>
      <c r="J152" s="6">
        <v>2</v>
      </c>
      <c r="K152" s="6">
        <v>1</v>
      </c>
      <c r="L152" s="6">
        <v>15</v>
      </c>
      <c r="M152" s="6">
        <v>56709</v>
      </c>
      <c r="N152" s="6">
        <v>1134180</v>
      </c>
      <c r="O152" s="6">
        <v>19</v>
      </c>
      <c r="P152" s="7">
        <v>534.20363999999995</v>
      </c>
      <c r="Q152" s="7">
        <v>2246.6871000000001</v>
      </c>
      <c r="R152" s="9">
        <f>D152*VLOOKUP(1001,적!$A$4:$D$13,3,FALSE)</f>
        <v>18384.254000640001</v>
      </c>
      <c r="S152" s="9">
        <f>D152*VLOOKUP(F152,보스!$A$4:$E$5,4,FALSE)</f>
        <v>661833.14402304008</v>
      </c>
    </row>
    <row r="153" spans="1:19" ht="21.95" customHeight="1">
      <c r="A153" s="6">
        <v>5150</v>
      </c>
      <c r="B153" s="2" t="s">
        <v>301</v>
      </c>
      <c r="C153" s="6">
        <v>150</v>
      </c>
      <c r="D153" s="7">
        <v>9303.828716</v>
      </c>
      <c r="E153" s="2" t="s">
        <v>152</v>
      </c>
      <c r="F153" s="6">
        <v>2002</v>
      </c>
      <c r="G153" s="6">
        <v>5</v>
      </c>
      <c r="H153" s="7">
        <v>30</v>
      </c>
      <c r="I153" s="6">
        <v>5</v>
      </c>
      <c r="J153" s="6">
        <v>2</v>
      </c>
      <c r="K153" s="6">
        <v>1</v>
      </c>
      <c r="L153" s="6">
        <v>15</v>
      </c>
      <c r="M153" s="6">
        <v>57122</v>
      </c>
      <c r="N153" s="6">
        <v>1142440</v>
      </c>
      <c r="O153" s="6">
        <v>20</v>
      </c>
      <c r="P153" s="7">
        <v>539.64200000000005</v>
      </c>
      <c r="Q153" s="7">
        <v>2269.5549999999998</v>
      </c>
      <c r="R153" s="9">
        <f>D153*VLOOKUP(1001,적!$A$4:$D$13,3,FALSE)</f>
        <v>18607.657432</v>
      </c>
      <c r="S153" s="9">
        <f>D153*VLOOKUP(F153,보스!$A$4:$E$5,4,FALSE)</f>
        <v>669875.66755200003</v>
      </c>
    </row>
    <row r="154" spans="1:19" ht="21.95" customHeight="1">
      <c r="A154" s="6">
        <v>5151</v>
      </c>
      <c r="B154" s="2" t="s">
        <v>302</v>
      </c>
      <c r="C154" s="6">
        <v>151</v>
      </c>
      <c r="D154" s="7">
        <v>9416.3335000000006</v>
      </c>
      <c r="E154" s="2" t="s">
        <v>152</v>
      </c>
      <c r="F154" s="6">
        <v>2001</v>
      </c>
      <c r="G154" s="6">
        <v>5</v>
      </c>
      <c r="H154" s="7">
        <v>30</v>
      </c>
      <c r="I154" s="6">
        <v>5</v>
      </c>
      <c r="J154" s="6">
        <v>2</v>
      </c>
      <c r="K154" s="6">
        <v>1</v>
      </c>
      <c r="L154" s="6">
        <v>15</v>
      </c>
      <c r="M154" s="6">
        <v>57536</v>
      </c>
      <c r="N154" s="6">
        <v>1150720</v>
      </c>
      <c r="O154" s="6">
        <v>20</v>
      </c>
      <c r="P154" s="7">
        <v>545.10500000000002</v>
      </c>
      <c r="Q154" s="7">
        <v>2292.5264999999999</v>
      </c>
      <c r="R154" s="9">
        <f>D154*VLOOKUP(1001,적!$A$4:$D$13,3,FALSE)</f>
        <v>18832.667000000001</v>
      </c>
      <c r="S154" s="9">
        <f>D154*VLOOKUP(F154,보스!$A$4:$E$5,4,FALSE)</f>
        <v>677976.0120000001</v>
      </c>
    </row>
    <row r="155" spans="1:19" ht="21.95" customHeight="1">
      <c r="A155" s="6">
        <v>5152</v>
      </c>
      <c r="B155" s="2" t="s">
        <v>303</v>
      </c>
      <c r="C155" s="6">
        <v>152</v>
      </c>
      <c r="D155" s="7">
        <v>9529.6447341599996</v>
      </c>
      <c r="E155" s="2" t="s">
        <v>152</v>
      </c>
      <c r="F155" s="6">
        <v>2002</v>
      </c>
      <c r="G155" s="6">
        <v>5</v>
      </c>
      <c r="H155" s="7">
        <v>30</v>
      </c>
      <c r="I155" s="6">
        <v>5</v>
      </c>
      <c r="J155" s="6">
        <v>2</v>
      </c>
      <c r="K155" s="6">
        <v>1</v>
      </c>
      <c r="L155" s="6">
        <v>15</v>
      </c>
      <c r="M155" s="6">
        <v>57949</v>
      </c>
      <c r="N155" s="6">
        <v>1158980</v>
      </c>
      <c r="O155" s="6">
        <v>20</v>
      </c>
      <c r="P155" s="7">
        <v>550.59263999999996</v>
      </c>
      <c r="Q155" s="7">
        <v>2315.6016</v>
      </c>
      <c r="R155" s="9">
        <f>D155*VLOOKUP(1001,적!$A$4:$D$13,3,FALSE)</f>
        <v>19059.289468319999</v>
      </c>
      <c r="S155" s="9">
        <f>D155*VLOOKUP(F155,보스!$A$4:$E$5,4,FALSE)</f>
        <v>686134.42085951997</v>
      </c>
    </row>
    <row r="156" spans="1:19" ht="21.95" customHeight="1">
      <c r="A156" s="6">
        <v>5153</v>
      </c>
      <c r="B156" s="2" t="s">
        <v>304</v>
      </c>
      <c r="C156" s="6">
        <v>153</v>
      </c>
      <c r="D156" s="7">
        <v>9643.7658176000004</v>
      </c>
      <c r="E156" s="2" t="s">
        <v>152</v>
      </c>
      <c r="F156" s="6">
        <v>2001</v>
      </c>
      <c r="G156" s="6">
        <v>5</v>
      </c>
      <c r="H156" s="7">
        <v>30</v>
      </c>
      <c r="I156" s="6">
        <v>5</v>
      </c>
      <c r="J156" s="6">
        <v>2</v>
      </c>
      <c r="K156" s="6">
        <v>1</v>
      </c>
      <c r="L156" s="6">
        <v>15</v>
      </c>
      <c r="M156" s="6">
        <v>58362</v>
      </c>
      <c r="N156" s="6">
        <v>1167240</v>
      </c>
      <c r="O156" s="6">
        <v>20</v>
      </c>
      <c r="P156" s="7">
        <v>556.10491999999999</v>
      </c>
      <c r="Q156" s="7">
        <v>2338.7802999999999</v>
      </c>
      <c r="R156" s="9">
        <f>D156*VLOOKUP(1001,적!$A$4:$D$13,3,FALSE)</f>
        <v>19287.531635200001</v>
      </c>
      <c r="S156" s="9">
        <f>D156*VLOOKUP(F156,보스!$A$4:$E$5,4,FALSE)</f>
        <v>694351.1388672</v>
      </c>
    </row>
    <row r="157" spans="1:19" ht="21.95" customHeight="1">
      <c r="A157" s="6">
        <v>5154</v>
      </c>
      <c r="B157" s="2" t="s">
        <v>305</v>
      </c>
      <c r="C157" s="6">
        <v>154</v>
      </c>
      <c r="D157" s="7">
        <v>9758.7001667200002</v>
      </c>
      <c r="E157" s="2" t="s">
        <v>152</v>
      </c>
      <c r="F157" s="6">
        <v>2002</v>
      </c>
      <c r="G157" s="6">
        <v>5</v>
      </c>
      <c r="H157" s="7">
        <v>30</v>
      </c>
      <c r="I157" s="6">
        <v>5</v>
      </c>
      <c r="J157" s="6">
        <v>2</v>
      </c>
      <c r="K157" s="6">
        <v>1</v>
      </c>
      <c r="L157" s="6">
        <v>15</v>
      </c>
      <c r="M157" s="6">
        <v>58775</v>
      </c>
      <c r="N157" s="6">
        <v>1175500</v>
      </c>
      <c r="O157" s="6">
        <v>20</v>
      </c>
      <c r="P157" s="7">
        <v>561.64184</v>
      </c>
      <c r="Q157" s="7">
        <v>2362.0626000000002</v>
      </c>
      <c r="R157" s="9">
        <f>D157*VLOOKUP(1001,적!$A$4:$D$13,3,FALSE)</f>
        <v>19517.40033344</v>
      </c>
      <c r="S157" s="9">
        <f>D157*VLOOKUP(F157,보스!$A$4:$E$5,4,FALSE)</f>
        <v>702626.41200383997</v>
      </c>
    </row>
    <row r="158" spans="1:19" ht="21.95" customHeight="1">
      <c r="A158" s="6">
        <v>5155</v>
      </c>
      <c r="B158" s="2" t="s">
        <v>306</v>
      </c>
      <c r="C158" s="6">
        <v>155</v>
      </c>
      <c r="D158" s="7">
        <v>9874.4512152000007</v>
      </c>
      <c r="E158" s="2" t="s">
        <v>152</v>
      </c>
      <c r="F158" s="6">
        <v>2001</v>
      </c>
      <c r="G158" s="6">
        <v>5</v>
      </c>
      <c r="H158" s="7">
        <v>30</v>
      </c>
      <c r="I158" s="6">
        <v>5</v>
      </c>
      <c r="J158" s="6">
        <v>2</v>
      </c>
      <c r="K158" s="6">
        <v>1</v>
      </c>
      <c r="L158" s="6">
        <v>15</v>
      </c>
      <c r="M158" s="6">
        <v>59189</v>
      </c>
      <c r="N158" s="6">
        <v>1183780</v>
      </c>
      <c r="O158" s="6">
        <v>20</v>
      </c>
      <c r="P158" s="7">
        <v>567.20339999999999</v>
      </c>
      <c r="Q158" s="7">
        <v>2385.4485</v>
      </c>
      <c r="R158" s="9">
        <f>D158*VLOOKUP(1001,적!$A$4:$D$13,3,FALSE)</f>
        <v>19748.902430400001</v>
      </c>
      <c r="S158" s="9">
        <f>D158*VLOOKUP(F158,보스!$A$4:$E$5,4,FALSE)</f>
        <v>710960.4874944</v>
      </c>
    </row>
    <row r="159" spans="1:19" ht="21.95" customHeight="1">
      <c r="A159" s="6">
        <v>5156</v>
      </c>
      <c r="B159" s="2" t="s">
        <v>307</v>
      </c>
      <c r="C159" s="6">
        <v>156</v>
      </c>
      <c r="D159" s="7">
        <v>9991.0224139999991</v>
      </c>
      <c r="E159" s="2" t="s">
        <v>152</v>
      </c>
      <c r="F159" s="6">
        <v>2002</v>
      </c>
      <c r="G159" s="6">
        <v>5</v>
      </c>
      <c r="H159" s="7">
        <v>30</v>
      </c>
      <c r="I159" s="6">
        <v>5</v>
      </c>
      <c r="J159" s="6">
        <v>2</v>
      </c>
      <c r="K159" s="6">
        <v>1</v>
      </c>
      <c r="L159" s="6">
        <v>15</v>
      </c>
      <c r="M159" s="6">
        <v>59602</v>
      </c>
      <c r="N159" s="6">
        <v>1192040</v>
      </c>
      <c r="O159" s="6">
        <v>20</v>
      </c>
      <c r="P159" s="7">
        <v>572.78959999999995</v>
      </c>
      <c r="Q159" s="7">
        <v>2408.9380000000001</v>
      </c>
      <c r="R159" s="9">
        <f>D159*VLOOKUP(1001,적!$A$4:$D$13,3,FALSE)</f>
        <v>19982.044827999998</v>
      </c>
      <c r="S159" s="9">
        <f>D159*VLOOKUP(F159,보스!$A$4:$E$5,4,FALSE)</f>
        <v>719353.61380799999</v>
      </c>
    </row>
    <row r="160" spans="1:19" ht="21.95" customHeight="1">
      <c r="A160" s="6">
        <v>5157</v>
      </c>
      <c r="B160" s="2" t="s">
        <v>308</v>
      </c>
      <c r="C160" s="6">
        <v>157</v>
      </c>
      <c r="D160" s="7">
        <v>10108.417231359999</v>
      </c>
      <c r="E160" s="2" t="s">
        <v>152</v>
      </c>
      <c r="F160" s="6">
        <v>2001</v>
      </c>
      <c r="G160" s="6">
        <v>5</v>
      </c>
      <c r="H160" s="7">
        <v>30</v>
      </c>
      <c r="I160" s="6">
        <v>5</v>
      </c>
      <c r="J160" s="6">
        <v>2</v>
      </c>
      <c r="K160" s="6">
        <v>1</v>
      </c>
      <c r="L160" s="6">
        <v>15</v>
      </c>
      <c r="M160" s="6">
        <v>60015</v>
      </c>
      <c r="N160" s="6">
        <v>1200300</v>
      </c>
      <c r="O160" s="6">
        <v>20</v>
      </c>
      <c r="P160" s="7">
        <v>578.40044</v>
      </c>
      <c r="Q160" s="7">
        <v>2432.5311000000002</v>
      </c>
      <c r="R160" s="9">
        <f>D160*VLOOKUP(1001,적!$A$4:$D$13,3,FALSE)</f>
        <v>20216.834462719999</v>
      </c>
      <c r="S160" s="9">
        <f>D160*VLOOKUP(F160,보스!$A$4:$E$5,4,FALSE)</f>
        <v>727806.04065791995</v>
      </c>
    </row>
    <row r="161" spans="1:19" ht="21.95" customHeight="1">
      <c r="A161" s="6">
        <v>5158</v>
      </c>
      <c r="B161" s="2" t="s">
        <v>309</v>
      </c>
      <c r="C161" s="6">
        <v>158</v>
      </c>
      <c r="D161" s="7">
        <v>10226.6391528</v>
      </c>
      <c r="E161" s="2" t="s">
        <v>152</v>
      </c>
      <c r="F161" s="6">
        <v>2002</v>
      </c>
      <c r="G161" s="6">
        <v>5</v>
      </c>
      <c r="H161" s="7">
        <v>30</v>
      </c>
      <c r="I161" s="6">
        <v>5</v>
      </c>
      <c r="J161" s="6">
        <v>2</v>
      </c>
      <c r="K161" s="6">
        <v>1</v>
      </c>
      <c r="L161" s="6">
        <v>15</v>
      </c>
      <c r="M161" s="6">
        <v>60428</v>
      </c>
      <c r="N161" s="6">
        <v>1208560</v>
      </c>
      <c r="O161" s="6">
        <v>20</v>
      </c>
      <c r="P161" s="7">
        <v>584.03592000000003</v>
      </c>
      <c r="Q161" s="7">
        <v>2456.2278000000001</v>
      </c>
      <c r="R161" s="9">
        <f>D161*VLOOKUP(1001,적!$A$4:$D$13,3,FALSE)</f>
        <v>20453.278305600001</v>
      </c>
      <c r="S161" s="9">
        <f>D161*VLOOKUP(F161,보스!$A$4:$E$5,4,FALSE)</f>
        <v>736318.01900159998</v>
      </c>
    </row>
    <row r="162" spans="1:19" ht="21.95" customHeight="1">
      <c r="A162" s="6">
        <v>5159</v>
      </c>
      <c r="B162" s="2" t="s">
        <v>310</v>
      </c>
      <c r="C162" s="6">
        <v>159</v>
      </c>
      <c r="D162" s="7">
        <v>10345.691681120001</v>
      </c>
      <c r="E162" s="2" t="s">
        <v>152</v>
      </c>
      <c r="F162" s="6">
        <v>2001</v>
      </c>
      <c r="G162" s="6">
        <v>5</v>
      </c>
      <c r="H162" s="7">
        <v>30</v>
      </c>
      <c r="I162" s="6">
        <v>5</v>
      </c>
      <c r="J162" s="6">
        <v>2</v>
      </c>
      <c r="K162" s="6">
        <v>1</v>
      </c>
      <c r="L162" s="6">
        <v>15</v>
      </c>
      <c r="M162" s="6">
        <v>60840</v>
      </c>
      <c r="N162" s="6">
        <v>1216800</v>
      </c>
      <c r="O162" s="6">
        <v>20</v>
      </c>
      <c r="P162" s="7">
        <v>589.69604000000004</v>
      </c>
      <c r="Q162" s="7">
        <v>2480.0281</v>
      </c>
      <c r="R162" s="9">
        <f>D162*VLOOKUP(1001,적!$A$4:$D$13,3,FALSE)</f>
        <v>20691.383362240002</v>
      </c>
      <c r="S162" s="9">
        <f>D162*VLOOKUP(F162,보스!$A$4:$E$5,4,FALSE)</f>
        <v>744889.8010406401</v>
      </c>
    </row>
    <row r="163" spans="1:19" ht="21.95" customHeight="1">
      <c r="A163" s="6">
        <v>5160</v>
      </c>
      <c r="B163" s="2" t="s">
        <v>311</v>
      </c>
      <c r="C163" s="6">
        <v>160</v>
      </c>
      <c r="D163" s="7">
        <v>10465.5783364</v>
      </c>
      <c r="E163" s="2" t="s">
        <v>152</v>
      </c>
      <c r="F163" s="6">
        <v>2002</v>
      </c>
      <c r="G163" s="6">
        <v>5</v>
      </c>
      <c r="H163" s="7">
        <v>30</v>
      </c>
      <c r="I163" s="6">
        <v>5</v>
      </c>
      <c r="J163" s="6">
        <v>2</v>
      </c>
      <c r="K163" s="6">
        <v>1</v>
      </c>
      <c r="L163" s="6">
        <v>15</v>
      </c>
      <c r="M163" s="6">
        <v>61253</v>
      </c>
      <c r="N163" s="6">
        <v>1225060</v>
      </c>
      <c r="O163" s="6">
        <v>21</v>
      </c>
      <c r="P163" s="7">
        <v>595.38080000000002</v>
      </c>
      <c r="Q163" s="7">
        <v>2503.9319999999998</v>
      </c>
      <c r="R163" s="9">
        <f>D163*VLOOKUP(1001,적!$A$4:$D$13,3,FALSE)</f>
        <v>20931.1566728</v>
      </c>
      <c r="S163" s="9">
        <f>D163*VLOOKUP(F163,보스!$A$4:$E$5,4,FALSE)</f>
        <v>753521.64022079995</v>
      </c>
    </row>
    <row r="164" spans="1:19" ht="21.95" customHeight="1">
      <c r="A164" s="6">
        <v>5161</v>
      </c>
      <c r="B164" s="2" t="s">
        <v>312</v>
      </c>
      <c r="C164" s="6">
        <v>161</v>
      </c>
      <c r="D164" s="7">
        <v>10586.302656</v>
      </c>
      <c r="E164" s="2" t="s">
        <v>152</v>
      </c>
      <c r="F164" s="6">
        <v>2001</v>
      </c>
      <c r="G164" s="6">
        <v>5</v>
      </c>
      <c r="H164" s="7">
        <v>30</v>
      </c>
      <c r="I164" s="6">
        <v>5</v>
      </c>
      <c r="J164" s="6">
        <v>2</v>
      </c>
      <c r="K164" s="6">
        <v>1</v>
      </c>
      <c r="L164" s="6">
        <v>15</v>
      </c>
      <c r="M164" s="6">
        <v>61666</v>
      </c>
      <c r="N164" s="6">
        <v>1233320</v>
      </c>
      <c r="O164" s="6">
        <v>21</v>
      </c>
      <c r="P164" s="7">
        <v>601.09019999999998</v>
      </c>
      <c r="Q164" s="7">
        <v>2527.9395</v>
      </c>
      <c r="R164" s="9">
        <f>D164*VLOOKUP(1001,적!$A$4:$D$13,3,FALSE)</f>
        <v>21172.605312</v>
      </c>
      <c r="S164" s="9">
        <f>D164*VLOOKUP(F164,보스!$A$4:$E$5,4,FALSE)</f>
        <v>762213.79123199999</v>
      </c>
    </row>
    <row r="165" spans="1:19" ht="21.95" customHeight="1">
      <c r="A165" s="6">
        <v>5162</v>
      </c>
      <c r="B165" s="2" t="s">
        <v>313</v>
      </c>
      <c r="C165" s="6">
        <v>162</v>
      </c>
      <c r="D165" s="7">
        <v>10707.86819456</v>
      </c>
      <c r="E165" s="2" t="s">
        <v>152</v>
      </c>
      <c r="F165" s="6">
        <v>2002</v>
      </c>
      <c r="G165" s="6">
        <v>5</v>
      </c>
      <c r="H165" s="7">
        <v>30</v>
      </c>
      <c r="I165" s="6">
        <v>5</v>
      </c>
      <c r="J165" s="6">
        <v>2</v>
      </c>
      <c r="K165" s="6">
        <v>1</v>
      </c>
      <c r="L165" s="6">
        <v>15</v>
      </c>
      <c r="M165" s="6">
        <v>62079</v>
      </c>
      <c r="N165" s="6">
        <v>1241580</v>
      </c>
      <c r="O165" s="6">
        <v>21</v>
      </c>
      <c r="P165" s="7">
        <v>606.82424000000003</v>
      </c>
      <c r="Q165" s="7">
        <v>2552.0506</v>
      </c>
      <c r="R165" s="9">
        <f>D165*VLOOKUP(1001,적!$A$4:$D$13,3,FALSE)</f>
        <v>21415.73638912</v>
      </c>
      <c r="S165" s="9">
        <f>D165*VLOOKUP(F165,보스!$A$4:$E$5,4,FALSE)</f>
        <v>770966.51000831998</v>
      </c>
    </row>
    <row r="166" spans="1:19" ht="21.95" customHeight="1">
      <c r="A166" s="6">
        <v>5163</v>
      </c>
      <c r="B166" s="2" t="s">
        <v>314</v>
      </c>
      <c r="C166" s="6">
        <v>163</v>
      </c>
      <c r="D166" s="7">
        <v>10830.278523999999</v>
      </c>
      <c r="E166" s="2" t="s">
        <v>152</v>
      </c>
      <c r="F166" s="6">
        <v>2001</v>
      </c>
      <c r="G166" s="6">
        <v>5</v>
      </c>
      <c r="H166" s="7">
        <v>30</v>
      </c>
      <c r="I166" s="6">
        <v>5</v>
      </c>
      <c r="J166" s="6">
        <v>2</v>
      </c>
      <c r="K166" s="6">
        <v>1</v>
      </c>
      <c r="L166" s="6">
        <v>15</v>
      </c>
      <c r="M166" s="6">
        <v>62491</v>
      </c>
      <c r="N166" s="6">
        <v>1249820</v>
      </c>
      <c r="O166" s="6">
        <v>21</v>
      </c>
      <c r="P166" s="7">
        <v>612.58291999999994</v>
      </c>
      <c r="Q166" s="7">
        <v>2576.2653</v>
      </c>
      <c r="R166" s="9">
        <f>D166*VLOOKUP(1001,적!$A$4:$D$13,3,FALSE)</f>
        <v>21660.557047999999</v>
      </c>
      <c r="S166" s="9">
        <f>D166*VLOOKUP(F166,보스!$A$4:$E$5,4,FALSE)</f>
        <v>779780.05372799991</v>
      </c>
    </row>
    <row r="167" spans="1:19" ht="21.95" customHeight="1">
      <c r="A167" s="6">
        <v>5164</v>
      </c>
      <c r="B167" s="2" t="s">
        <v>315</v>
      </c>
      <c r="C167" s="6">
        <v>164</v>
      </c>
      <c r="D167" s="7">
        <v>10953.537233520001</v>
      </c>
      <c r="E167" s="2" t="s">
        <v>152</v>
      </c>
      <c r="F167" s="6">
        <v>2002</v>
      </c>
      <c r="G167" s="6">
        <v>5</v>
      </c>
      <c r="H167" s="7">
        <v>30</v>
      </c>
      <c r="I167" s="6">
        <v>5</v>
      </c>
      <c r="J167" s="6">
        <v>2</v>
      </c>
      <c r="K167" s="6">
        <v>1</v>
      </c>
      <c r="L167" s="6">
        <v>15</v>
      </c>
      <c r="M167" s="6">
        <v>62904</v>
      </c>
      <c r="N167" s="6">
        <v>1258080</v>
      </c>
      <c r="O167" s="6">
        <v>21</v>
      </c>
      <c r="P167" s="7">
        <v>618.36623999999995</v>
      </c>
      <c r="Q167" s="7">
        <v>2600.5835999999999</v>
      </c>
      <c r="R167" s="9">
        <f>D167*VLOOKUP(1001,적!$A$4:$D$13,3,FALSE)</f>
        <v>21907.074467040002</v>
      </c>
      <c r="S167" s="9">
        <f>D167*VLOOKUP(F167,보스!$A$4:$E$5,4,FALSE)</f>
        <v>788654.68081344012</v>
      </c>
    </row>
    <row r="168" spans="1:19" ht="21.95" customHeight="1">
      <c r="A168" s="6">
        <v>5165</v>
      </c>
      <c r="B168" s="2" t="s">
        <v>316</v>
      </c>
      <c r="C168" s="6">
        <v>165</v>
      </c>
      <c r="D168" s="7">
        <v>11077.6479296</v>
      </c>
      <c r="E168" s="2" t="s">
        <v>152</v>
      </c>
      <c r="F168" s="6">
        <v>2001</v>
      </c>
      <c r="G168" s="6">
        <v>5</v>
      </c>
      <c r="H168" s="7">
        <v>30</v>
      </c>
      <c r="I168" s="6">
        <v>5</v>
      </c>
      <c r="J168" s="6">
        <v>2</v>
      </c>
      <c r="K168" s="6">
        <v>1</v>
      </c>
      <c r="L168" s="6">
        <v>15</v>
      </c>
      <c r="M168" s="6">
        <v>63316</v>
      </c>
      <c r="N168" s="6">
        <v>1266320</v>
      </c>
      <c r="O168" s="6">
        <v>21</v>
      </c>
      <c r="P168" s="7">
        <v>624.17420000000004</v>
      </c>
      <c r="Q168" s="7">
        <v>2625.0055000000002</v>
      </c>
      <c r="R168" s="9">
        <f>D168*VLOOKUP(1001,적!$A$4:$D$13,3,FALSE)</f>
        <v>22155.2958592</v>
      </c>
      <c r="S168" s="9">
        <f>D168*VLOOKUP(F168,보스!$A$4:$E$5,4,FALSE)</f>
        <v>797590.65093120001</v>
      </c>
    </row>
    <row r="169" spans="1:19" ht="21.95" customHeight="1">
      <c r="A169" s="6">
        <v>5166</v>
      </c>
      <c r="B169" s="2" t="s">
        <v>317</v>
      </c>
      <c r="C169" s="6">
        <v>166</v>
      </c>
      <c r="D169" s="7">
        <v>11202.614235999999</v>
      </c>
      <c r="E169" s="2" t="s">
        <v>152</v>
      </c>
      <c r="F169" s="6">
        <v>2002</v>
      </c>
      <c r="G169" s="6">
        <v>5</v>
      </c>
      <c r="H169" s="7">
        <v>30</v>
      </c>
      <c r="I169" s="6">
        <v>5</v>
      </c>
      <c r="J169" s="6">
        <v>2</v>
      </c>
      <c r="K169" s="6">
        <v>1</v>
      </c>
      <c r="L169" s="6">
        <v>15</v>
      </c>
      <c r="M169" s="6">
        <v>63729</v>
      </c>
      <c r="N169" s="6">
        <v>1274580</v>
      </c>
      <c r="O169" s="6">
        <v>21</v>
      </c>
      <c r="P169" s="7">
        <v>630.0068</v>
      </c>
      <c r="Q169" s="7">
        <v>2649.5309999999999</v>
      </c>
      <c r="R169" s="9">
        <f>D169*VLOOKUP(1001,적!$A$4:$D$13,3,FALSE)</f>
        <v>22405.228471999999</v>
      </c>
      <c r="S169" s="9">
        <f>D169*VLOOKUP(F169,보스!$A$4:$E$5,4,FALSE)</f>
        <v>806588.22499199992</v>
      </c>
    </row>
    <row r="170" spans="1:19" ht="21.95" customHeight="1">
      <c r="A170" s="6">
        <v>5167</v>
      </c>
      <c r="B170" s="2" t="s">
        <v>318</v>
      </c>
      <c r="C170" s="6">
        <v>167</v>
      </c>
      <c r="D170" s="7">
        <v>11328.439793760001</v>
      </c>
      <c r="E170" s="2" t="s">
        <v>152</v>
      </c>
      <c r="F170" s="6">
        <v>2001</v>
      </c>
      <c r="G170" s="6">
        <v>5</v>
      </c>
      <c r="H170" s="7">
        <v>30</v>
      </c>
      <c r="I170" s="6">
        <v>5</v>
      </c>
      <c r="J170" s="6">
        <v>2</v>
      </c>
      <c r="K170" s="6">
        <v>1</v>
      </c>
      <c r="L170" s="6">
        <v>15</v>
      </c>
      <c r="M170" s="6">
        <v>64141</v>
      </c>
      <c r="N170" s="6">
        <v>1282820</v>
      </c>
      <c r="O170" s="6">
        <v>21</v>
      </c>
      <c r="P170" s="7">
        <v>635.86404000000005</v>
      </c>
      <c r="Q170" s="7">
        <v>2674.1601000000001</v>
      </c>
      <c r="R170" s="9">
        <f>D170*VLOOKUP(1001,적!$A$4:$D$13,3,FALSE)</f>
        <v>22656.879587520001</v>
      </c>
      <c r="S170" s="9">
        <f>D170*VLOOKUP(F170,보스!$A$4:$E$5,4,FALSE)</f>
        <v>815647.66515072004</v>
      </c>
    </row>
    <row r="171" spans="1:19" ht="21.95" customHeight="1">
      <c r="A171" s="6">
        <v>5168</v>
      </c>
      <c r="B171" s="2" t="s">
        <v>319</v>
      </c>
      <c r="C171" s="6">
        <v>168</v>
      </c>
      <c r="D171" s="7">
        <v>11455.1282612</v>
      </c>
      <c r="E171" s="2" t="s">
        <v>152</v>
      </c>
      <c r="F171" s="6">
        <v>2002</v>
      </c>
      <c r="G171" s="6">
        <v>5</v>
      </c>
      <c r="H171" s="7">
        <v>30</v>
      </c>
      <c r="I171" s="6">
        <v>5</v>
      </c>
      <c r="J171" s="6">
        <v>2</v>
      </c>
      <c r="K171" s="6">
        <v>1</v>
      </c>
      <c r="L171" s="6">
        <v>15</v>
      </c>
      <c r="M171" s="6">
        <v>64553</v>
      </c>
      <c r="N171" s="6">
        <v>1291060</v>
      </c>
      <c r="O171" s="6">
        <v>21</v>
      </c>
      <c r="P171" s="7">
        <v>641.74591999999996</v>
      </c>
      <c r="Q171" s="7">
        <v>2698.8928000000001</v>
      </c>
      <c r="R171" s="9">
        <f>D171*VLOOKUP(1001,적!$A$4:$D$13,3,FALSE)</f>
        <v>22910.256522399999</v>
      </c>
      <c r="S171" s="9">
        <f>D171*VLOOKUP(F171,보스!$A$4:$E$5,4,FALSE)</f>
        <v>824769.23480640003</v>
      </c>
    </row>
    <row r="172" spans="1:19" ht="21.95" customHeight="1">
      <c r="A172" s="6">
        <v>5169</v>
      </c>
      <c r="B172" s="2" t="s">
        <v>320</v>
      </c>
      <c r="C172" s="6">
        <v>169</v>
      </c>
      <c r="D172" s="7">
        <v>11582.683313920001</v>
      </c>
      <c r="E172" s="2" t="s">
        <v>152</v>
      </c>
      <c r="F172" s="6">
        <v>2001</v>
      </c>
      <c r="G172" s="6">
        <v>5</v>
      </c>
      <c r="H172" s="7">
        <v>30</v>
      </c>
      <c r="I172" s="6">
        <v>5</v>
      </c>
      <c r="J172" s="6">
        <v>2</v>
      </c>
      <c r="K172" s="6">
        <v>1</v>
      </c>
      <c r="L172" s="6">
        <v>15</v>
      </c>
      <c r="M172" s="6">
        <v>64966</v>
      </c>
      <c r="N172" s="6">
        <v>1299320</v>
      </c>
      <c r="O172" s="6">
        <v>21</v>
      </c>
      <c r="P172" s="7">
        <v>647.65243999999996</v>
      </c>
      <c r="Q172" s="7">
        <v>2723.7291</v>
      </c>
      <c r="R172" s="9">
        <f>D172*VLOOKUP(1001,적!$A$4:$D$13,3,FALSE)</f>
        <v>23165.366627840001</v>
      </c>
      <c r="S172" s="9">
        <f>D172*VLOOKUP(F172,보스!$A$4:$E$5,4,FALSE)</f>
        <v>833953.19860224007</v>
      </c>
    </row>
    <row r="173" spans="1:19" ht="21.95" customHeight="1">
      <c r="A173" s="6">
        <v>5170</v>
      </c>
      <c r="B173" s="2" t="s">
        <v>321</v>
      </c>
      <c r="C173" s="6">
        <v>170</v>
      </c>
      <c r="D173" s="7">
        <v>11711.108644800001</v>
      </c>
      <c r="E173" s="2" t="s">
        <v>152</v>
      </c>
      <c r="F173" s="6">
        <v>2002</v>
      </c>
      <c r="G173" s="6">
        <v>5</v>
      </c>
      <c r="H173" s="7">
        <v>30</v>
      </c>
      <c r="I173" s="6">
        <v>5</v>
      </c>
      <c r="J173" s="6">
        <v>2</v>
      </c>
      <c r="K173" s="6">
        <v>1</v>
      </c>
      <c r="L173" s="6">
        <v>15</v>
      </c>
      <c r="M173" s="6">
        <v>65378</v>
      </c>
      <c r="N173" s="6">
        <v>1307560</v>
      </c>
      <c r="O173" s="6">
        <v>22</v>
      </c>
      <c r="P173" s="7">
        <v>653.58360000000005</v>
      </c>
      <c r="Q173" s="7">
        <v>2748.6689999999999</v>
      </c>
      <c r="R173" s="9">
        <f>D173*VLOOKUP(1001,적!$A$4:$D$13,3,FALSE)</f>
        <v>23422.217289600001</v>
      </c>
      <c r="S173" s="9">
        <f>D173*VLOOKUP(F173,보스!$A$4:$E$5,4,FALSE)</f>
        <v>843199.82242560002</v>
      </c>
    </row>
    <row r="174" spans="1:19" ht="21.95" customHeight="1">
      <c r="A174" s="6">
        <v>5171</v>
      </c>
      <c r="B174" s="2" t="s">
        <v>322</v>
      </c>
      <c r="C174" s="6">
        <v>171</v>
      </c>
      <c r="D174" s="7">
        <v>11840.407964</v>
      </c>
      <c r="E174" s="2" t="s">
        <v>152</v>
      </c>
      <c r="F174" s="6">
        <v>2001</v>
      </c>
      <c r="G174" s="6">
        <v>5</v>
      </c>
      <c r="H174" s="7">
        <v>30</v>
      </c>
      <c r="I174" s="6">
        <v>5</v>
      </c>
      <c r="J174" s="6">
        <v>2</v>
      </c>
      <c r="K174" s="6">
        <v>1</v>
      </c>
      <c r="L174" s="6">
        <v>15</v>
      </c>
      <c r="M174" s="6">
        <v>65790</v>
      </c>
      <c r="N174" s="6">
        <v>1315800</v>
      </c>
      <c r="O174" s="6">
        <v>22</v>
      </c>
      <c r="P174" s="7">
        <v>659.5394</v>
      </c>
      <c r="Q174" s="7">
        <v>2773.7125000000001</v>
      </c>
      <c r="R174" s="9">
        <f>D174*VLOOKUP(1001,적!$A$4:$D$13,3,FALSE)</f>
        <v>23680.815928</v>
      </c>
      <c r="S174" s="9">
        <f>D174*VLOOKUP(F174,보스!$A$4:$E$5,4,FALSE)</f>
        <v>852509.37340799998</v>
      </c>
    </row>
    <row r="175" spans="1:19" ht="21.95" customHeight="1">
      <c r="A175" s="6">
        <v>5172</v>
      </c>
      <c r="B175" s="2" t="s">
        <v>323</v>
      </c>
      <c r="C175" s="6">
        <v>172</v>
      </c>
      <c r="D175" s="7">
        <v>11970.584998959999</v>
      </c>
      <c r="E175" s="2" t="s">
        <v>152</v>
      </c>
      <c r="F175" s="6">
        <v>2002</v>
      </c>
      <c r="G175" s="6">
        <v>5</v>
      </c>
      <c r="H175" s="7">
        <v>30</v>
      </c>
      <c r="I175" s="6">
        <v>5</v>
      </c>
      <c r="J175" s="6">
        <v>2</v>
      </c>
      <c r="K175" s="6">
        <v>1</v>
      </c>
      <c r="L175" s="6">
        <v>15</v>
      </c>
      <c r="M175" s="6">
        <v>66202</v>
      </c>
      <c r="N175" s="6">
        <v>1324040</v>
      </c>
      <c r="O175" s="6">
        <v>22</v>
      </c>
      <c r="P175" s="7">
        <v>665.51984000000004</v>
      </c>
      <c r="Q175" s="7">
        <v>2798.8595999999998</v>
      </c>
      <c r="R175" s="9">
        <f>D175*VLOOKUP(1001,적!$A$4:$D$13,3,FALSE)</f>
        <v>23941.169997919998</v>
      </c>
      <c r="S175" s="9">
        <f>D175*VLOOKUP(F175,보스!$A$4:$E$5,4,FALSE)</f>
        <v>861882.11992511991</v>
      </c>
    </row>
    <row r="176" spans="1:19" ht="21.95" customHeight="1">
      <c r="A176" s="6">
        <v>5173</v>
      </c>
      <c r="B176" s="2" t="s">
        <v>324</v>
      </c>
      <c r="C176" s="6">
        <v>173</v>
      </c>
      <c r="D176" s="7">
        <v>12101.643494399999</v>
      </c>
      <c r="E176" s="2" t="s">
        <v>152</v>
      </c>
      <c r="F176" s="6">
        <v>2001</v>
      </c>
      <c r="G176" s="6">
        <v>5</v>
      </c>
      <c r="H176" s="7">
        <v>30</v>
      </c>
      <c r="I176" s="6">
        <v>5</v>
      </c>
      <c r="J176" s="6">
        <v>2</v>
      </c>
      <c r="K176" s="6">
        <v>1</v>
      </c>
      <c r="L176" s="6">
        <v>15</v>
      </c>
      <c r="M176" s="6">
        <v>66614</v>
      </c>
      <c r="N176" s="6">
        <v>1332280</v>
      </c>
      <c r="O176" s="6">
        <v>22</v>
      </c>
      <c r="P176" s="7">
        <v>671.52491999999995</v>
      </c>
      <c r="Q176" s="7">
        <v>2824.1102999999998</v>
      </c>
      <c r="R176" s="9">
        <f>D176*VLOOKUP(1001,적!$A$4:$D$13,3,FALSE)</f>
        <v>24203.286988799999</v>
      </c>
      <c r="S176" s="9">
        <f>D176*VLOOKUP(F176,보스!$A$4:$E$5,4,FALSE)</f>
        <v>871318.33159679989</v>
      </c>
    </row>
    <row r="177" spans="1:19" ht="21.95" customHeight="1">
      <c r="A177" s="6">
        <v>5174</v>
      </c>
      <c r="B177" s="2" t="s">
        <v>325</v>
      </c>
      <c r="C177" s="6">
        <v>174</v>
      </c>
      <c r="D177" s="7">
        <v>12233.587212320001</v>
      </c>
      <c r="E177" s="2" t="s">
        <v>152</v>
      </c>
      <c r="F177" s="6">
        <v>2002</v>
      </c>
      <c r="G177" s="6">
        <v>5</v>
      </c>
      <c r="H177" s="7">
        <v>30</v>
      </c>
      <c r="I177" s="6">
        <v>5</v>
      </c>
      <c r="J177" s="6">
        <v>2</v>
      </c>
      <c r="K177" s="6">
        <v>1</v>
      </c>
      <c r="L177" s="6">
        <v>15</v>
      </c>
      <c r="M177" s="6">
        <v>67026</v>
      </c>
      <c r="N177" s="6">
        <v>1340520</v>
      </c>
      <c r="O177" s="6">
        <v>22</v>
      </c>
      <c r="P177" s="7">
        <v>677.55463999999995</v>
      </c>
      <c r="Q177" s="7">
        <v>2849.4645999999998</v>
      </c>
      <c r="R177" s="9">
        <f>D177*VLOOKUP(1001,적!$A$4:$D$13,3,FALSE)</f>
        <v>24467.174424640001</v>
      </c>
      <c r="S177" s="9">
        <f>D177*VLOOKUP(F177,보스!$A$4:$E$5,4,FALSE)</f>
        <v>880818.27928704</v>
      </c>
    </row>
    <row r="178" spans="1:19" ht="21.95" customHeight="1">
      <c r="A178" s="6">
        <v>5175</v>
      </c>
      <c r="B178" s="2" t="s">
        <v>326</v>
      </c>
      <c r="C178" s="6">
        <v>175</v>
      </c>
      <c r="D178" s="7">
        <v>12366.419932000001</v>
      </c>
      <c r="E178" s="2" t="s">
        <v>152</v>
      </c>
      <c r="F178" s="6">
        <v>2001</v>
      </c>
      <c r="G178" s="6">
        <v>5</v>
      </c>
      <c r="H178" s="7">
        <v>30</v>
      </c>
      <c r="I178" s="6">
        <v>5</v>
      </c>
      <c r="J178" s="6">
        <v>2</v>
      </c>
      <c r="K178" s="6">
        <v>1</v>
      </c>
      <c r="L178" s="6">
        <v>15</v>
      </c>
      <c r="M178" s="6">
        <v>67438</v>
      </c>
      <c r="N178" s="6">
        <v>1348760</v>
      </c>
      <c r="O178" s="6">
        <v>22</v>
      </c>
      <c r="P178" s="7">
        <v>683.60900000000004</v>
      </c>
      <c r="Q178" s="7">
        <v>2874.9225000000001</v>
      </c>
      <c r="R178" s="9">
        <f>D178*VLOOKUP(1001,적!$A$4:$D$13,3,FALSE)</f>
        <v>24732.839864000001</v>
      </c>
      <c r="S178" s="9">
        <f>D178*VLOOKUP(F178,보스!$A$4:$E$5,4,FALSE)</f>
        <v>890382.23510400008</v>
      </c>
    </row>
    <row r="179" spans="1:19" ht="21.95" customHeight="1">
      <c r="A179" s="6">
        <v>5176</v>
      </c>
      <c r="B179" s="2" t="s">
        <v>327</v>
      </c>
      <c r="C179" s="6">
        <v>176</v>
      </c>
      <c r="D179" s="7">
        <v>12500.14545</v>
      </c>
      <c r="E179" s="2" t="s">
        <v>152</v>
      </c>
      <c r="F179" s="6">
        <v>2002</v>
      </c>
      <c r="G179" s="6">
        <v>5</v>
      </c>
      <c r="H179" s="7">
        <v>30</v>
      </c>
      <c r="I179" s="6">
        <v>5</v>
      </c>
      <c r="J179" s="6">
        <v>2</v>
      </c>
      <c r="K179" s="6">
        <v>1</v>
      </c>
      <c r="L179" s="6">
        <v>15</v>
      </c>
      <c r="M179" s="6">
        <v>67850</v>
      </c>
      <c r="N179" s="6">
        <v>1357000</v>
      </c>
      <c r="O179" s="6">
        <v>22</v>
      </c>
      <c r="P179" s="7">
        <v>689.68799999999999</v>
      </c>
      <c r="Q179" s="7">
        <v>2900.4839999999999</v>
      </c>
      <c r="R179" s="9">
        <f>D179*VLOOKUP(1001,적!$A$4:$D$13,3,FALSE)</f>
        <v>25000.2909</v>
      </c>
      <c r="S179" s="9">
        <f>D179*VLOOKUP(F179,보스!$A$4:$E$5,4,FALSE)</f>
        <v>900010.47239999997</v>
      </c>
    </row>
    <row r="180" spans="1:19" ht="21.95" customHeight="1">
      <c r="A180" s="6">
        <v>5177</v>
      </c>
      <c r="B180" s="2" t="s">
        <v>328</v>
      </c>
      <c r="C180" s="6">
        <v>177</v>
      </c>
      <c r="D180" s="7">
        <v>12634.76758016</v>
      </c>
      <c r="E180" s="2" t="s">
        <v>152</v>
      </c>
      <c r="F180" s="6">
        <v>2001</v>
      </c>
      <c r="G180" s="6">
        <v>5</v>
      </c>
      <c r="H180" s="7">
        <v>30</v>
      </c>
      <c r="I180" s="6">
        <v>5</v>
      </c>
      <c r="J180" s="6">
        <v>2</v>
      </c>
      <c r="K180" s="6">
        <v>1</v>
      </c>
      <c r="L180" s="6">
        <v>15</v>
      </c>
      <c r="M180" s="6">
        <v>68262</v>
      </c>
      <c r="N180" s="6">
        <v>1365240</v>
      </c>
      <c r="O180" s="6">
        <v>22</v>
      </c>
      <c r="P180" s="7">
        <v>695.79164000000003</v>
      </c>
      <c r="Q180" s="7">
        <v>2926.1491000000001</v>
      </c>
      <c r="R180" s="9">
        <f>D180*VLOOKUP(1001,적!$A$4:$D$13,3,FALSE)</f>
        <v>25269.53516032</v>
      </c>
      <c r="S180" s="9">
        <f>D180*VLOOKUP(F180,보스!$A$4:$E$5,4,FALSE)</f>
        <v>909703.26577151997</v>
      </c>
    </row>
    <row r="181" spans="1:19" ht="21.95" customHeight="1">
      <c r="A181" s="6">
        <v>5178</v>
      </c>
      <c r="B181" s="2" t="s">
        <v>329</v>
      </c>
      <c r="C181" s="6">
        <v>178</v>
      </c>
      <c r="D181" s="7">
        <v>12770.290153600001</v>
      </c>
      <c r="E181" s="2" t="s">
        <v>152</v>
      </c>
      <c r="F181" s="6">
        <v>2002</v>
      </c>
      <c r="G181" s="6">
        <v>5</v>
      </c>
      <c r="H181" s="7">
        <v>30</v>
      </c>
      <c r="I181" s="6">
        <v>5</v>
      </c>
      <c r="J181" s="6">
        <v>2</v>
      </c>
      <c r="K181" s="6">
        <v>1</v>
      </c>
      <c r="L181" s="6">
        <v>15</v>
      </c>
      <c r="M181" s="6">
        <v>68673</v>
      </c>
      <c r="N181" s="6">
        <v>1373460</v>
      </c>
      <c r="O181" s="6">
        <v>22</v>
      </c>
      <c r="P181" s="7">
        <v>701.91992000000005</v>
      </c>
      <c r="Q181" s="7">
        <v>2951.9178000000002</v>
      </c>
      <c r="R181" s="9">
        <f>D181*VLOOKUP(1001,적!$A$4:$D$13,3,FALSE)</f>
        <v>25540.580307200002</v>
      </c>
      <c r="S181" s="9">
        <f>D181*VLOOKUP(F181,보스!$A$4:$E$5,4,FALSE)</f>
        <v>919460.89105920005</v>
      </c>
    </row>
    <row r="182" spans="1:19" ht="21.95" customHeight="1">
      <c r="A182" s="6">
        <v>5179</v>
      </c>
      <c r="B182" s="2" t="s">
        <v>330</v>
      </c>
      <c r="C182" s="6">
        <v>179</v>
      </c>
      <c r="D182" s="7">
        <v>12906.717018720001</v>
      </c>
      <c r="E182" s="2" t="s">
        <v>152</v>
      </c>
      <c r="F182" s="6">
        <v>2001</v>
      </c>
      <c r="G182" s="6">
        <v>5</v>
      </c>
      <c r="H182" s="7">
        <v>30</v>
      </c>
      <c r="I182" s="6">
        <v>5</v>
      </c>
      <c r="J182" s="6">
        <v>2</v>
      </c>
      <c r="K182" s="6">
        <v>1</v>
      </c>
      <c r="L182" s="6">
        <v>15</v>
      </c>
      <c r="M182" s="6">
        <v>69085</v>
      </c>
      <c r="N182" s="6">
        <v>1381700</v>
      </c>
      <c r="O182" s="6">
        <v>22</v>
      </c>
      <c r="P182" s="7">
        <v>708.07284000000004</v>
      </c>
      <c r="Q182" s="7">
        <v>2977.7901000000002</v>
      </c>
      <c r="R182" s="9">
        <f>D182*VLOOKUP(1001,적!$A$4:$D$13,3,FALSE)</f>
        <v>25813.434037440002</v>
      </c>
      <c r="S182" s="9">
        <f>D182*VLOOKUP(F182,보스!$A$4:$E$5,4,FALSE)</f>
        <v>929283.62534784002</v>
      </c>
    </row>
    <row r="183" spans="1:19" ht="21.95" customHeight="1">
      <c r="A183" s="6">
        <v>5180</v>
      </c>
      <c r="B183" s="2" t="s">
        <v>331</v>
      </c>
      <c r="C183" s="6">
        <v>180</v>
      </c>
      <c r="D183" s="7">
        <v>13044.052041200001</v>
      </c>
      <c r="E183" s="2" t="s">
        <v>152</v>
      </c>
      <c r="F183" s="6">
        <v>2002</v>
      </c>
      <c r="G183" s="6">
        <v>5</v>
      </c>
      <c r="H183" s="7">
        <v>30</v>
      </c>
      <c r="I183" s="6">
        <v>5</v>
      </c>
      <c r="J183" s="6">
        <v>2</v>
      </c>
      <c r="K183" s="6">
        <v>1</v>
      </c>
      <c r="L183" s="6">
        <v>15</v>
      </c>
      <c r="M183" s="6">
        <v>69497</v>
      </c>
      <c r="N183" s="6">
        <v>1389940</v>
      </c>
      <c r="O183" s="6">
        <v>23</v>
      </c>
      <c r="P183" s="7">
        <v>714.25040000000001</v>
      </c>
      <c r="Q183" s="7">
        <v>3003.7660000000001</v>
      </c>
      <c r="R183" s="9">
        <f>D183*VLOOKUP(1001,적!$A$4:$D$13,3,FALSE)</f>
        <v>26088.104082400001</v>
      </c>
      <c r="S183" s="9">
        <f>D183*VLOOKUP(F183,보스!$A$4:$E$5,4,FALSE)</f>
        <v>939171.74696640007</v>
      </c>
    </row>
    <row r="184" spans="1:19" ht="21.95" customHeight="1">
      <c r="A184" s="6">
        <v>5181</v>
      </c>
      <c r="B184" s="2" t="s">
        <v>332</v>
      </c>
      <c r="C184" s="6">
        <v>181</v>
      </c>
      <c r="D184" s="7">
        <v>13182.299104</v>
      </c>
      <c r="E184" s="2" t="s">
        <v>152</v>
      </c>
      <c r="F184" s="6">
        <v>2001</v>
      </c>
      <c r="G184" s="6">
        <v>5</v>
      </c>
      <c r="H184" s="7">
        <v>30</v>
      </c>
      <c r="I184" s="6">
        <v>5</v>
      </c>
      <c r="J184" s="6">
        <v>2</v>
      </c>
      <c r="K184" s="6">
        <v>1</v>
      </c>
      <c r="L184" s="6">
        <v>15</v>
      </c>
      <c r="M184" s="6">
        <v>69908</v>
      </c>
      <c r="N184" s="6">
        <v>1398160</v>
      </c>
      <c r="O184" s="6">
        <v>23</v>
      </c>
      <c r="P184" s="7">
        <v>720.45259999999996</v>
      </c>
      <c r="Q184" s="7">
        <v>3029.8454999999999</v>
      </c>
      <c r="R184" s="9">
        <f>D184*VLOOKUP(1001,적!$A$4:$D$13,3,FALSE)</f>
        <v>26364.598207999999</v>
      </c>
      <c r="S184" s="9">
        <f>D184*VLOOKUP(F184,보스!$A$4:$E$5,4,FALSE)</f>
        <v>949125.53548800002</v>
      </c>
    </row>
    <row r="185" spans="1:19" ht="21.95" customHeight="1">
      <c r="A185" s="6">
        <v>5182</v>
      </c>
      <c r="B185" s="2" t="s">
        <v>333</v>
      </c>
      <c r="C185" s="6">
        <v>182</v>
      </c>
      <c r="D185" s="7">
        <v>13321.462107359999</v>
      </c>
      <c r="E185" s="2" t="s">
        <v>152</v>
      </c>
      <c r="F185" s="6">
        <v>2002</v>
      </c>
      <c r="G185" s="6">
        <v>5</v>
      </c>
      <c r="H185" s="7">
        <v>30</v>
      </c>
      <c r="I185" s="6">
        <v>5</v>
      </c>
      <c r="J185" s="6">
        <v>2</v>
      </c>
      <c r="K185" s="6">
        <v>1</v>
      </c>
      <c r="L185" s="6">
        <v>15</v>
      </c>
      <c r="M185" s="6">
        <v>70320</v>
      </c>
      <c r="N185" s="6">
        <v>1406400</v>
      </c>
      <c r="O185" s="6">
        <v>23</v>
      </c>
      <c r="P185" s="7">
        <v>726.67944</v>
      </c>
      <c r="Q185" s="7">
        <v>3056.0286000000001</v>
      </c>
      <c r="R185" s="9">
        <f>D185*VLOOKUP(1001,적!$A$4:$D$13,3,FALSE)</f>
        <v>26642.924214719998</v>
      </c>
      <c r="S185" s="9">
        <f>D185*VLOOKUP(F185,보스!$A$4:$E$5,4,FALSE)</f>
        <v>959145.27172991994</v>
      </c>
    </row>
    <row r="186" spans="1:19" ht="21.95" customHeight="1">
      <c r="A186" s="6">
        <v>5183</v>
      </c>
      <c r="B186" s="2" t="s">
        <v>334</v>
      </c>
      <c r="C186" s="6">
        <v>183</v>
      </c>
      <c r="D186" s="7">
        <v>13461.544968800001</v>
      </c>
      <c r="E186" s="2" t="s">
        <v>152</v>
      </c>
      <c r="F186" s="6">
        <v>2001</v>
      </c>
      <c r="G186" s="6">
        <v>5</v>
      </c>
      <c r="H186" s="7">
        <v>30</v>
      </c>
      <c r="I186" s="6">
        <v>5</v>
      </c>
      <c r="J186" s="6">
        <v>2</v>
      </c>
      <c r="K186" s="6">
        <v>1</v>
      </c>
      <c r="L186" s="6">
        <v>15</v>
      </c>
      <c r="M186" s="6">
        <v>70731</v>
      </c>
      <c r="N186" s="6">
        <v>1414620</v>
      </c>
      <c r="O186" s="6">
        <v>23</v>
      </c>
      <c r="P186" s="7">
        <v>732.93092000000001</v>
      </c>
      <c r="Q186" s="7">
        <v>3082.3153000000002</v>
      </c>
      <c r="R186" s="9">
        <f>D186*VLOOKUP(1001,적!$A$4:$D$13,3,FALSE)</f>
        <v>26923.089937600002</v>
      </c>
      <c r="S186" s="9">
        <f>D186*VLOOKUP(F186,보스!$A$4:$E$5,4,FALSE)</f>
        <v>969231.23775360011</v>
      </c>
    </row>
    <row r="187" spans="1:19" ht="21.95" customHeight="1">
      <c r="A187" s="6">
        <v>5184</v>
      </c>
      <c r="B187" s="2" t="s">
        <v>335</v>
      </c>
      <c r="C187" s="6">
        <v>184</v>
      </c>
      <c r="D187" s="7">
        <v>13602.55162312</v>
      </c>
      <c r="E187" s="2" t="s">
        <v>152</v>
      </c>
      <c r="F187" s="6">
        <v>2002</v>
      </c>
      <c r="G187" s="6">
        <v>5</v>
      </c>
      <c r="H187" s="7">
        <v>30</v>
      </c>
      <c r="I187" s="6">
        <v>5</v>
      </c>
      <c r="J187" s="6">
        <v>2</v>
      </c>
      <c r="K187" s="6">
        <v>1</v>
      </c>
      <c r="L187" s="6">
        <v>15</v>
      </c>
      <c r="M187" s="6">
        <v>71143</v>
      </c>
      <c r="N187" s="6">
        <v>1422860</v>
      </c>
      <c r="O187" s="6">
        <v>23</v>
      </c>
      <c r="P187" s="7">
        <v>739.20704000000001</v>
      </c>
      <c r="Q187" s="7">
        <v>3108.7055999999998</v>
      </c>
      <c r="R187" s="9">
        <f>D187*VLOOKUP(1001,적!$A$4:$D$13,3,FALSE)</f>
        <v>27205.10324624</v>
      </c>
      <c r="S187" s="9">
        <f>D187*VLOOKUP(F187,보스!$A$4:$E$5,4,FALSE)</f>
        <v>979383.71686464001</v>
      </c>
    </row>
    <row r="188" spans="1:19" ht="21.95" customHeight="1">
      <c r="A188" s="6">
        <v>5185</v>
      </c>
      <c r="B188" s="2" t="s">
        <v>336</v>
      </c>
      <c r="C188" s="6">
        <v>185</v>
      </c>
      <c r="D188" s="7">
        <v>13744.4860224</v>
      </c>
      <c r="E188" s="2" t="s">
        <v>152</v>
      </c>
      <c r="F188" s="6">
        <v>2001</v>
      </c>
      <c r="G188" s="6">
        <v>5</v>
      </c>
      <c r="H188" s="7">
        <v>30</v>
      </c>
      <c r="I188" s="6">
        <v>5</v>
      </c>
      <c r="J188" s="6">
        <v>2</v>
      </c>
      <c r="K188" s="6">
        <v>1</v>
      </c>
      <c r="L188" s="6">
        <v>15</v>
      </c>
      <c r="M188" s="6">
        <v>71554</v>
      </c>
      <c r="N188" s="6">
        <v>1431080</v>
      </c>
      <c r="O188" s="6">
        <v>23</v>
      </c>
      <c r="P188" s="7">
        <v>745.50779999999997</v>
      </c>
      <c r="Q188" s="7">
        <v>3135.1995000000002</v>
      </c>
      <c r="R188" s="9">
        <f>D188*VLOOKUP(1001,적!$A$4:$D$13,3,FALSE)</f>
        <v>27488.972044800001</v>
      </c>
      <c r="S188" s="9">
        <f>D188*VLOOKUP(F188,보스!$A$4:$E$5,4,FALSE)</f>
        <v>989602.99361280003</v>
      </c>
    </row>
    <row r="189" spans="1:19" ht="21.95" customHeight="1">
      <c r="A189" s="6">
        <v>5186</v>
      </c>
      <c r="B189" s="2" t="s">
        <v>337</v>
      </c>
      <c r="C189" s="6">
        <v>186</v>
      </c>
      <c r="D189" s="7">
        <v>13887.352136</v>
      </c>
      <c r="E189" s="2" t="s">
        <v>152</v>
      </c>
      <c r="F189" s="6">
        <v>2002</v>
      </c>
      <c r="G189" s="6">
        <v>5</v>
      </c>
      <c r="H189" s="7">
        <v>30</v>
      </c>
      <c r="I189" s="6">
        <v>5</v>
      </c>
      <c r="J189" s="6">
        <v>2</v>
      </c>
      <c r="K189" s="6">
        <v>1</v>
      </c>
      <c r="L189" s="6">
        <v>15</v>
      </c>
      <c r="M189" s="6">
        <v>71965</v>
      </c>
      <c r="N189" s="6">
        <v>1439300</v>
      </c>
      <c r="O189" s="6">
        <v>23</v>
      </c>
      <c r="P189" s="7">
        <v>751.83320000000003</v>
      </c>
      <c r="Q189" s="7">
        <v>3161.797</v>
      </c>
      <c r="R189" s="9">
        <f>D189*VLOOKUP(1001,적!$A$4:$D$13,3,FALSE)</f>
        <v>27774.704271999999</v>
      </c>
      <c r="S189" s="9">
        <f>D189*VLOOKUP(F189,보스!$A$4:$E$5,4,FALSE)</f>
        <v>999889.35379199998</v>
      </c>
    </row>
    <row r="190" spans="1:19" ht="21.95" customHeight="1">
      <c r="A190" s="6">
        <v>5187</v>
      </c>
      <c r="B190" s="2" t="s">
        <v>338</v>
      </c>
      <c r="C190" s="6">
        <v>187</v>
      </c>
      <c r="D190" s="7">
        <v>14031.153950559999</v>
      </c>
      <c r="E190" s="2" t="s">
        <v>152</v>
      </c>
      <c r="F190" s="6">
        <v>2001</v>
      </c>
      <c r="G190" s="6">
        <v>5</v>
      </c>
      <c r="H190" s="7">
        <v>30</v>
      </c>
      <c r="I190" s="6">
        <v>5</v>
      </c>
      <c r="J190" s="6">
        <v>2</v>
      </c>
      <c r="K190" s="6">
        <v>1</v>
      </c>
      <c r="L190" s="6">
        <v>15</v>
      </c>
      <c r="M190" s="6">
        <v>72377</v>
      </c>
      <c r="N190" s="6">
        <v>1447540</v>
      </c>
      <c r="O190" s="6">
        <v>23</v>
      </c>
      <c r="P190" s="7">
        <v>758.18323999999996</v>
      </c>
      <c r="Q190" s="7">
        <v>3188.4980999999998</v>
      </c>
      <c r="R190" s="9">
        <f>D190*VLOOKUP(1001,적!$A$4:$D$13,3,FALSE)</f>
        <v>28062.307901119999</v>
      </c>
      <c r="S190" s="9">
        <f>D190*VLOOKUP(F190,보스!$A$4:$E$5,4,FALSE)</f>
        <v>1010243.0844403199</v>
      </c>
    </row>
    <row r="191" spans="1:19" ht="21.95" customHeight="1">
      <c r="A191" s="6">
        <v>5188</v>
      </c>
      <c r="B191" s="2" t="s">
        <v>339</v>
      </c>
      <c r="C191" s="6">
        <v>188</v>
      </c>
      <c r="D191" s="7">
        <v>14175.895469999999</v>
      </c>
      <c r="E191" s="2" t="s">
        <v>152</v>
      </c>
      <c r="F191" s="6">
        <v>2002</v>
      </c>
      <c r="G191" s="6">
        <v>5</v>
      </c>
      <c r="H191" s="7">
        <v>30</v>
      </c>
      <c r="I191" s="6">
        <v>5</v>
      </c>
      <c r="J191" s="6">
        <v>2</v>
      </c>
      <c r="K191" s="6">
        <v>1</v>
      </c>
      <c r="L191" s="6">
        <v>15</v>
      </c>
      <c r="M191" s="6">
        <v>72788</v>
      </c>
      <c r="N191" s="6">
        <v>1455760</v>
      </c>
      <c r="O191" s="6">
        <v>23</v>
      </c>
      <c r="P191" s="7">
        <v>764.55791999999997</v>
      </c>
      <c r="Q191" s="7">
        <v>3215.3027999999999</v>
      </c>
      <c r="R191" s="9">
        <f>D191*VLOOKUP(1001,적!$A$4:$D$13,3,FALSE)</f>
        <v>28351.790939999999</v>
      </c>
      <c r="S191" s="9">
        <f>D191*VLOOKUP(F191,보스!$A$4:$E$5,4,FALSE)</f>
        <v>1020664.47384</v>
      </c>
    </row>
    <row r="192" spans="1:19" ht="21.95" customHeight="1">
      <c r="A192" s="6">
        <v>5189</v>
      </c>
      <c r="B192" s="2" t="s">
        <v>340</v>
      </c>
      <c r="C192" s="6">
        <v>189</v>
      </c>
      <c r="D192" s="7">
        <v>14321.58071552</v>
      </c>
      <c r="E192" s="2" t="s">
        <v>152</v>
      </c>
      <c r="F192" s="6">
        <v>2001</v>
      </c>
      <c r="G192" s="6">
        <v>5</v>
      </c>
      <c r="H192" s="7">
        <v>30</v>
      </c>
      <c r="I192" s="6">
        <v>5</v>
      </c>
      <c r="J192" s="6">
        <v>2</v>
      </c>
      <c r="K192" s="6">
        <v>1</v>
      </c>
      <c r="L192" s="6">
        <v>15</v>
      </c>
      <c r="M192" s="6">
        <v>73199</v>
      </c>
      <c r="N192" s="6">
        <v>1463980</v>
      </c>
      <c r="O192" s="6">
        <v>23</v>
      </c>
      <c r="P192" s="7">
        <v>770.95723999999996</v>
      </c>
      <c r="Q192" s="7">
        <v>3242.2111</v>
      </c>
      <c r="R192" s="9">
        <f>D192*VLOOKUP(1001,적!$A$4:$D$13,3,FALSE)</f>
        <v>28643.16143104</v>
      </c>
      <c r="S192" s="9">
        <f>D192*VLOOKUP(F192,보스!$A$4:$E$5,4,FALSE)</f>
        <v>1031153.81151744</v>
      </c>
    </row>
    <row r="193" spans="1:19" ht="21.95" customHeight="1">
      <c r="A193" s="6">
        <v>5190</v>
      </c>
      <c r="B193" s="2" t="s">
        <v>341</v>
      </c>
      <c r="C193" s="6">
        <v>190</v>
      </c>
      <c r="D193" s="7">
        <v>14468.213725600001</v>
      </c>
      <c r="E193" s="2" t="s">
        <v>152</v>
      </c>
      <c r="F193" s="6">
        <v>2002</v>
      </c>
      <c r="G193" s="6">
        <v>5</v>
      </c>
      <c r="H193" s="7">
        <v>30</v>
      </c>
      <c r="I193" s="6">
        <v>5</v>
      </c>
      <c r="J193" s="6">
        <v>2</v>
      </c>
      <c r="K193" s="6">
        <v>1</v>
      </c>
      <c r="L193" s="6">
        <v>15</v>
      </c>
      <c r="M193" s="6">
        <v>73610</v>
      </c>
      <c r="N193" s="6">
        <v>1472200</v>
      </c>
      <c r="O193" s="6">
        <v>24</v>
      </c>
      <c r="P193" s="7">
        <v>777.38120000000004</v>
      </c>
      <c r="Q193" s="7">
        <v>3269.223</v>
      </c>
      <c r="R193" s="9">
        <f>D193*VLOOKUP(1001,적!$A$4:$D$13,3,FALSE)</f>
        <v>28936.427451200001</v>
      </c>
      <c r="S193" s="9">
        <f>D193*VLOOKUP(F193,보스!$A$4:$E$5,4,FALSE)</f>
        <v>1041711.3882432</v>
      </c>
    </row>
    <row r="194" spans="1:19" ht="21.95" customHeight="1">
      <c r="A194" s="6">
        <v>5191</v>
      </c>
      <c r="B194" s="2" t="s">
        <v>342</v>
      </c>
      <c r="C194" s="6">
        <v>191</v>
      </c>
      <c r="D194" s="7">
        <v>14615.798556</v>
      </c>
      <c r="E194" s="2" t="s">
        <v>152</v>
      </c>
      <c r="F194" s="6">
        <v>2001</v>
      </c>
      <c r="G194" s="6">
        <v>5</v>
      </c>
      <c r="H194" s="7">
        <v>30</v>
      </c>
      <c r="I194" s="6">
        <v>5</v>
      </c>
      <c r="J194" s="6">
        <v>2</v>
      </c>
      <c r="K194" s="6">
        <v>1</v>
      </c>
      <c r="L194" s="6">
        <v>15</v>
      </c>
      <c r="M194" s="6">
        <v>74021</v>
      </c>
      <c r="N194" s="6">
        <v>1480420</v>
      </c>
      <c r="O194" s="6">
        <v>24</v>
      </c>
      <c r="P194" s="7">
        <v>783.82979999999998</v>
      </c>
      <c r="Q194" s="7">
        <v>3296.3384999999998</v>
      </c>
      <c r="R194" s="9">
        <f>D194*VLOOKUP(1001,적!$A$4:$D$13,3,FALSE)</f>
        <v>29231.597111999999</v>
      </c>
      <c r="S194" s="9">
        <f>D194*VLOOKUP(F194,보스!$A$4:$E$5,4,FALSE)</f>
        <v>1052337.4960320001</v>
      </c>
    </row>
    <row r="195" spans="1:19" ht="21.95" customHeight="1">
      <c r="A195" s="6">
        <v>5192</v>
      </c>
      <c r="B195" s="2" t="s">
        <v>343</v>
      </c>
      <c r="C195" s="6">
        <v>192</v>
      </c>
      <c r="D195" s="7">
        <v>14764.339279760001</v>
      </c>
      <c r="E195" s="2" t="s">
        <v>152</v>
      </c>
      <c r="F195" s="6">
        <v>2002</v>
      </c>
      <c r="G195" s="6">
        <v>5</v>
      </c>
      <c r="H195" s="7">
        <v>30</v>
      </c>
      <c r="I195" s="6">
        <v>5</v>
      </c>
      <c r="J195" s="6">
        <v>2</v>
      </c>
      <c r="K195" s="6">
        <v>1</v>
      </c>
      <c r="L195" s="6">
        <v>15</v>
      </c>
      <c r="M195" s="6">
        <v>74432</v>
      </c>
      <c r="N195" s="6">
        <v>1488640</v>
      </c>
      <c r="O195" s="6">
        <v>24</v>
      </c>
      <c r="P195" s="7">
        <v>790.30304000000001</v>
      </c>
      <c r="Q195" s="7">
        <v>3323.5576000000001</v>
      </c>
      <c r="R195" s="9">
        <f>D195*VLOOKUP(1001,적!$A$4:$D$13,3,FALSE)</f>
        <v>29528.678559520002</v>
      </c>
      <c r="S195" s="9">
        <f>D195*VLOOKUP(F195,보스!$A$4:$E$5,4,FALSE)</f>
        <v>1063032.4281427201</v>
      </c>
    </row>
    <row r="196" spans="1:19" ht="21.95" customHeight="1">
      <c r="A196" s="6">
        <v>5193</v>
      </c>
      <c r="B196" s="2" t="s">
        <v>344</v>
      </c>
      <c r="C196" s="6">
        <v>193</v>
      </c>
      <c r="D196" s="7">
        <v>14913.839987200001</v>
      </c>
      <c r="E196" s="2" t="s">
        <v>152</v>
      </c>
      <c r="F196" s="6">
        <v>2001</v>
      </c>
      <c r="G196" s="6">
        <v>5</v>
      </c>
      <c r="H196" s="7">
        <v>30</v>
      </c>
      <c r="I196" s="6">
        <v>5</v>
      </c>
      <c r="J196" s="6">
        <v>2</v>
      </c>
      <c r="K196" s="6">
        <v>1</v>
      </c>
      <c r="L196" s="6">
        <v>15</v>
      </c>
      <c r="M196" s="6">
        <v>74843</v>
      </c>
      <c r="N196" s="6">
        <v>1496860</v>
      </c>
      <c r="O196" s="6">
        <v>24</v>
      </c>
      <c r="P196" s="7">
        <v>796.80092000000002</v>
      </c>
      <c r="Q196" s="7">
        <v>3350.8802999999998</v>
      </c>
      <c r="R196" s="9">
        <f>D196*VLOOKUP(1001,적!$A$4:$D$13,3,FALSE)</f>
        <v>29827.679974400002</v>
      </c>
      <c r="S196" s="9">
        <f>D196*VLOOKUP(F196,보스!$A$4:$E$5,4,FALSE)</f>
        <v>1073796.4790783999</v>
      </c>
    </row>
    <row r="197" spans="1:19" ht="21.95" customHeight="1">
      <c r="A197" s="6">
        <v>5194</v>
      </c>
      <c r="B197" s="2" t="s">
        <v>345</v>
      </c>
      <c r="C197" s="6">
        <v>194</v>
      </c>
      <c r="D197" s="7">
        <v>15064.30478592</v>
      </c>
      <c r="E197" s="2" t="s">
        <v>152</v>
      </c>
      <c r="F197" s="6">
        <v>2002</v>
      </c>
      <c r="G197" s="6">
        <v>5</v>
      </c>
      <c r="H197" s="7">
        <v>30</v>
      </c>
      <c r="I197" s="6">
        <v>5</v>
      </c>
      <c r="J197" s="6">
        <v>2</v>
      </c>
      <c r="K197" s="6">
        <v>1</v>
      </c>
      <c r="L197" s="6">
        <v>15</v>
      </c>
      <c r="M197" s="6">
        <v>75254</v>
      </c>
      <c r="N197" s="6">
        <v>1505080</v>
      </c>
      <c r="O197" s="6">
        <v>24</v>
      </c>
      <c r="P197" s="7">
        <v>803.32344000000001</v>
      </c>
      <c r="Q197" s="7">
        <v>3378.3065999999999</v>
      </c>
      <c r="R197" s="9">
        <f>D197*VLOOKUP(1001,적!$A$4:$D$13,3,FALSE)</f>
        <v>30128.609571839999</v>
      </c>
      <c r="S197" s="9">
        <f>D197*VLOOKUP(F197,보스!$A$4:$E$5,4,FALSE)</f>
        <v>1084629.94458624</v>
      </c>
    </row>
    <row r="198" spans="1:19" ht="21.95" customHeight="1">
      <c r="A198" s="6">
        <v>5195</v>
      </c>
      <c r="B198" s="2" t="s">
        <v>346</v>
      </c>
      <c r="C198" s="6">
        <v>195</v>
      </c>
      <c r="D198" s="7">
        <v>15215.7378008</v>
      </c>
      <c r="E198" s="2" t="s">
        <v>152</v>
      </c>
      <c r="F198" s="6">
        <v>2001</v>
      </c>
      <c r="G198" s="6">
        <v>5</v>
      </c>
      <c r="H198" s="7">
        <v>30</v>
      </c>
      <c r="I198" s="6">
        <v>5</v>
      </c>
      <c r="J198" s="6">
        <v>2</v>
      </c>
      <c r="K198" s="6">
        <v>1</v>
      </c>
      <c r="L198" s="6">
        <v>15</v>
      </c>
      <c r="M198" s="6">
        <v>75665</v>
      </c>
      <c r="N198" s="6">
        <v>1513300</v>
      </c>
      <c r="O198" s="6">
        <v>24</v>
      </c>
      <c r="P198" s="7">
        <v>809.87059999999997</v>
      </c>
      <c r="Q198" s="7">
        <v>3405.8364999999999</v>
      </c>
      <c r="R198" s="9">
        <f>D198*VLOOKUP(1001,적!$A$4:$D$13,3,FALSE)</f>
        <v>30431.475601599999</v>
      </c>
      <c r="S198" s="9">
        <f>D198*VLOOKUP(F198,보스!$A$4:$E$5,4,FALSE)</f>
        <v>1095533.1216575999</v>
      </c>
    </row>
    <row r="199" spans="1:19" ht="21.95" customHeight="1">
      <c r="A199" s="6">
        <v>5196</v>
      </c>
      <c r="B199" s="2" t="s">
        <v>347</v>
      </c>
      <c r="C199" s="6">
        <v>196</v>
      </c>
      <c r="D199" s="7">
        <v>15368.143174000001</v>
      </c>
      <c r="E199" s="2" t="s">
        <v>152</v>
      </c>
      <c r="F199" s="6">
        <v>2002</v>
      </c>
      <c r="G199" s="6">
        <v>5</v>
      </c>
      <c r="H199" s="7">
        <v>30</v>
      </c>
      <c r="I199" s="6">
        <v>5</v>
      </c>
      <c r="J199" s="6">
        <v>2</v>
      </c>
      <c r="K199" s="6">
        <v>1</v>
      </c>
      <c r="L199" s="6">
        <v>15</v>
      </c>
      <c r="M199" s="6">
        <v>76076</v>
      </c>
      <c r="N199" s="6">
        <v>1521520</v>
      </c>
      <c r="O199" s="6">
        <v>24</v>
      </c>
      <c r="P199" s="7">
        <v>816.44240000000002</v>
      </c>
      <c r="Q199" s="7">
        <v>3433.47</v>
      </c>
      <c r="R199" s="9">
        <f>D199*VLOOKUP(1001,적!$A$4:$D$13,3,FALSE)</f>
        <v>30736.286348000001</v>
      </c>
      <c r="S199" s="9">
        <f>D199*VLOOKUP(F199,보스!$A$4:$E$5,4,FALSE)</f>
        <v>1106506.308528</v>
      </c>
    </row>
    <row r="200" spans="1:19" ht="21.95" customHeight="1">
      <c r="A200" s="6">
        <v>5197</v>
      </c>
      <c r="B200" s="2" t="s">
        <v>348</v>
      </c>
      <c r="C200" s="6">
        <v>197</v>
      </c>
      <c r="D200" s="7">
        <v>15521.52506496</v>
      </c>
      <c r="E200" s="2" t="s">
        <v>152</v>
      </c>
      <c r="F200" s="6">
        <v>2001</v>
      </c>
      <c r="G200" s="6">
        <v>5</v>
      </c>
      <c r="H200" s="7">
        <v>30</v>
      </c>
      <c r="I200" s="6">
        <v>5</v>
      </c>
      <c r="J200" s="6">
        <v>2</v>
      </c>
      <c r="K200" s="6">
        <v>1</v>
      </c>
      <c r="L200" s="6">
        <v>15</v>
      </c>
      <c r="M200" s="6">
        <v>76487</v>
      </c>
      <c r="N200" s="6">
        <v>1529740</v>
      </c>
      <c r="O200" s="6">
        <v>24</v>
      </c>
      <c r="P200" s="7">
        <v>823.03884000000005</v>
      </c>
      <c r="Q200" s="7">
        <v>3461.2071000000001</v>
      </c>
      <c r="R200" s="9">
        <f>D200*VLOOKUP(1001,적!$A$4:$D$13,3,FALSE)</f>
        <v>31043.05012992</v>
      </c>
      <c r="S200" s="9">
        <f>D200*VLOOKUP(F200,보스!$A$4:$E$5,4,FALSE)</f>
        <v>1117549.8046771199</v>
      </c>
    </row>
    <row r="201" spans="1:19" ht="21.95" customHeight="1">
      <c r="A201" s="6">
        <v>5198</v>
      </c>
      <c r="B201" s="2" t="s">
        <v>349</v>
      </c>
      <c r="C201" s="6">
        <v>198</v>
      </c>
      <c r="D201" s="7">
        <v>15675.8876504</v>
      </c>
      <c r="E201" s="2" t="s">
        <v>152</v>
      </c>
      <c r="F201" s="6">
        <v>2002</v>
      </c>
      <c r="G201" s="6">
        <v>5</v>
      </c>
      <c r="H201" s="7">
        <v>30</v>
      </c>
      <c r="I201" s="6">
        <v>5</v>
      </c>
      <c r="J201" s="6">
        <v>2</v>
      </c>
      <c r="K201" s="6">
        <v>1</v>
      </c>
      <c r="L201" s="6">
        <v>15</v>
      </c>
      <c r="M201" s="6">
        <v>76898</v>
      </c>
      <c r="N201" s="6">
        <v>1537960</v>
      </c>
      <c r="O201" s="6">
        <v>24</v>
      </c>
      <c r="P201" s="7">
        <v>829.65992000000006</v>
      </c>
      <c r="Q201" s="7">
        <v>3489.0477999999998</v>
      </c>
      <c r="R201" s="9">
        <f>D201*VLOOKUP(1001,적!$A$4:$D$13,3,FALSE)</f>
        <v>31351.7753008</v>
      </c>
      <c r="S201" s="9">
        <f>D201*VLOOKUP(F201,보스!$A$4:$E$5,4,FALSE)</f>
        <v>1128663.9108287999</v>
      </c>
    </row>
    <row r="202" spans="1:19" ht="21.95" customHeight="1">
      <c r="A202" s="6">
        <v>5199</v>
      </c>
      <c r="B202" s="2" t="s">
        <v>350</v>
      </c>
      <c r="C202" s="6">
        <v>199</v>
      </c>
      <c r="D202" s="7">
        <v>15831.235124319999</v>
      </c>
      <c r="E202" s="2" t="s">
        <v>152</v>
      </c>
      <c r="F202" s="6">
        <v>2001</v>
      </c>
      <c r="G202" s="6">
        <v>5</v>
      </c>
      <c r="H202" s="7">
        <v>30</v>
      </c>
      <c r="I202" s="6">
        <v>5</v>
      </c>
      <c r="J202" s="6">
        <v>2</v>
      </c>
      <c r="K202" s="6">
        <v>1</v>
      </c>
      <c r="L202" s="6">
        <v>15</v>
      </c>
      <c r="M202" s="6">
        <v>77309</v>
      </c>
      <c r="N202" s="6">
        <v>1546180</v>
      </c>
      <c r="O202" s="6">
        <v>24</v>
      </c>
      <c r="P202" s="7">
        <v>836.30564000000004</v>
      </c>
      <c r="Q202" s="7">
        <v>3516.9920999999999</v>
      </c>
      <c r="R202" s="9">
        <f>D202*VLOOKUP(1001,적!$A$4:$D$13,3,FALSE)</f>
        <v>31662.470248639998</v>
      </c>
      <c r="S202" s="9">
        <f>D202*VLOOKUP(F202,보스!$A$4:$E$5,4,FALSE)</f>
        <v>1139848.9289510399</v>
      </c>
    </row>
    <row r="203" spans="1:19" ht="21.95" customHeight="1">
      <c r="A203" s="6">
        <v>5200</v>
      </c>
      <c r="B203" s="2" t="s">
        <v>351</v>
      </c>
      <c r="C203" s="6">
        <v>200</v>
      </c>
      <c r="D203" s="7">
        <v>15987.571698</v>
      </c>
      <c r="E203" s="2" t="s">
        <v>152</v>
      </c>
      <c r="F203" s="6">
        <v>2002</v>
      </c>
      <c r="G203" s="6">
        <v>5</v>
      </c>
      <c r="H203" s="7">
        <v>30</v>
      </c>
      <c r="I203" s="6">
        <v>5</v>
      </c>
      <c r="J203" s="6">
        <v>2</v>
      </c>
      <c r="K203" s="6">
        <v>1</v>
      </c>
      <c r="L203" s="6">
        <v>15</v>
      </c>
      <c r="M203" s="6">
        <v>77719</v>
      </c>
      <c r="N203" s="6">
        <v>1554380</v>
      </c>
      <c r="O203" s="6">
        <v>25</v>
      </c>
      <c r="P203" s="7">
        <v>842.976</v>
      </c>
      <c r="Q203" s="7">
        <v>3545.04</v>
      </c>
      <c r="R203" s="9">
        <f>D203*VLOOKUP(1001,적!$A$4:$D$13,3,FALSE)</f>
        <v>31975.143395999999</v>
      </c>
      <c r="S203" s="9">
        <f>D203*VLOOKUP(F203,보스!$A$4:$E$5,4,FALSE)</f>
        <v>1151105.1622560001</v>
      </c>
    </row>
    <row r="204" spans="1:19" ht="21.95" customHeight="1">
      <c r="A204" s="6">
        <v>5201</v>
      </c>
      <c r="B204" s="2" t="s">
        <v>352</v>
      </c>
      <c r="C204" s="6">
        <v>201</v>
      </c>
      <c r="D204" s="7">
        <v>16144.901599999999</v>
      </c>
      <c r="E204" s="2" t="s">
        <v>152</v>
      </c>
      <c r="F204" s="6">
        <v>2001</v>
      </c>
      <c r="G204" s="6">
        <v>5</v>
      </c>
      <c r="H204" s="7">
        <v>30</v>
      </c>
      <c r="I204" s="6">
        <v>5</v>
      </c>
      <c r="J204" s="6">
        <v>2</v>
      </c>
      <c r="K204" s="6">
        <v>1</v>
      </c>
      <c r="L204" s="6">
        <v>15</v>
      </c>
      <c r="M204" s="6">
        <v>78130</v>
      </c>
      <c r="N204" s="6">
        <v>1562600</v>
      </c>
      <c r="O204" s="6">
        <v>25</v>
      </c>
      <c r="P204" s="7">
        <v>849.67100000000005</v>
      </c>
      <c r="Q204" s="7">
        <v>3573.1914999999999</v>
      </c>
      <c r="R204" s="9">
        <f>D204*VLOOKUP(1001,적!$A$4:$D$13,3,FALSE)</f>
        <v>32289.803199999998</v>
      </c>
      <c r="S204" s="9">
        <f>D204*VLOOKUP(F204,보스!$A$4:$E$5,4,FALSE)</f>
        <v>1162432.9151999999</v>
      </c>
    </row>
    <row r="205" spans="1:19" ht="21.95" customHeight="1">
      <c r="A205" s="6">
        <v>5202</v>
      </c>
      <c r="B205" s="2" t="s">
        <v>353</v>
      </c>
      <c r="C205" s="6">
        <v>202</v>
      </c>
      <c r="D205" s="7">
        <v>16303.22907616</v>
      </c>
      <c r="E205" s="2" t="s">
        <v>152</v>
      </c>
      <c r="F205" s="6">
        <v>2002</v>
      </c>
      <c r="G205" s="6">
        <v>5</v>
      </c>
      <c r="H205" s="7">
        <v>30</v>
      </c>
      <c r="I205" s="6">
        <v>5</v>
      </c>
      <c r="J205" s="6">
        <v>2</v>
      </c>
      <c r="K205" s="6">
        <v>1</v>
      </c>
      <c r="L205" s="6">
        <v>15</v>
      </c>
      <c r="M205" s="6">
        <v>78541</v>
      </c>
      <c r="N205" s="6">
        <v>1570820</v>
      </c>
      <c r="O205" s="6">
        <v>25</v>
      </c>
      <c r="P205" s="7">
        <v>856.39063999999996</v>
      </c>
      <c r="Q205" s="7">
        <v>3601.4466000000002</v>
      </c>
      <c r="R205" s="9">
        <f>D205*VLOOKUP(1001,적!$A$4:$D$13,3,FALSE)</f>
        <v>32606.458152319999</v>
      </c>
      <c r="S205" s="9">
        <f>D205*VLOOKUP(F205,보스!$A$4:$E$5,4,FALSE)</f>
        <v>1173832.4934835199</v>
      </c>
    </row>
    <row r="206" spans="1:19" ht="21.95" customHeight="1">
      <c r="A206" s="6">
        <v>5203</v>
      </c>
      <c r="B206" s="2" t="s">
        <v>354</v>
      </c>
      <c r="C206" s="6">
        <v>203</v>
      </c>
      <c r="D206" s="7">
        <v>16462.558389599999</v>
      </c>
      <c r="E206" s="2" t="s">
        <v>152</v>
      </c>
      <c r="F206" s="6">
        <v>2001</v>
      </c>
      <c r="G206" s="6">
        <v>5</v>
      </c>
      <c r="H206" s="7">
        <v>30</v>
      </c>
      <c r="I206" s="6">
        <v>5</v>
      </c>
      <c r="J206" s="6">
        <v>2</v>
      </c>
      <c r="K206" s="6">
        <v>1</v>
      </c>
      <c r="L206" s="6">
        <v>15</v>
      </c>
      <c r="M206" s="6">
        <v>78951</v>
      </c>
      <c r="N206" s="6">
        <v>1579020</v>
      </c>
      <c r="O206" s="6">
        <v>25</v>
      </c>
      <c r="P206" s="7">
        <v>863.13491999999997</v>
      </c>
      <c r="Q206" s="7">
        <v>3629.8053</v>
      </c>
      <c r="R206" s="9">
        <f>D206*VLOOKUP(1001,적!$A$4:$D$13,3,FALSE)</f>
        <v>32925.116779199998</v>
      </c>
      <c r="S206" s="9">
        <f>D206*VLOOKUP(F206,보스!$A$4:$E$5,4,FALSE)</f>
        <v>1185304.2040511998</v>
      </c>
    </row>
    <row r="207" spans="1:19" ht="21.95" customHeight="1">
      <c r="A207" s="6">
        <v>5204</v>
      </c>
      <c r="B207" s="2" t="s">
        <v>355</v>
      </c>
      <c r="C207" s="6">
        <v>204</v>
      </c>
      <c r="D207" s="7">
        <v>16622.893820720001</v>
      </c>
      <c r="E207" s="2" t="s">
        <v>152</v>
      </c>
      <c r="F207" s="6">
        <v>2002</v>
      </c>
      <c r="G207" s="6">
        <v>5</v>
      </c>
      <c r="H207" s="7">
        <v>30</v>
      </c>
      <c r="I207" s="6">
        <v>5</v>
      </c>
      <c r="J207" s="6">
        <v>2</v>
      </c>
      <c r="K207" s="6">
        <v>1</v>
      </c>
      <c r="L207" s="6">
        <v>15</v>
      </c>
      <c r="M207" s="6">
        <v>79362</v>
      </c>
      <c r="N207" s="6">
        <v>1587240</v>
      </c>
      <c r="O207" s="6">
        <v>25</v>
      </c>
      <c r="P207" s="7">
        <v>869.90383999999995</v>
      </c>
      <c r="Q207" s="7">
        <v>3658.2676000000001</v>
      </c>
      <c r="R207" s="9">
        <f>D207*VLOOKUP(1001,적!$A$4:$D$13,3,FALSE)</f>
        <v>33245.787641440002</v>
      </c>
      <c r="S207" s="9">
        <f>D207*VLOOKUP(F207,보스!$A$4:$E$5,4,FALSE)</f>
        <v>1196848.35509184</v>
      </c>
    </row>
    <row r="208" spans="1:19" ht="21.95" customHeight="1">
      <c r="A208" s="6">
        <v>5205</v>
      </c>
      <c r="B208" s="2" t="s">
        <v>356</v>
      </c>
      <c r="C208" s="6">
        <v>205</v>
      </c>
      <c r="D208" s="7">
        <v>16784.2396672</v>
      </c>
      <c r="E208" s="2" t="s">
        <v>152</v>
      </c>
      <c r="F208" s="6">
        <v>2001</v>
      </c>
      <c r="G208" s="6">
        <v>5</v>
      </c>
      <c r="H208" s="7">
        <v>30</v>
      </c>
      <c r="I208" s="6">
        <v>5</v>
      </c>
      <c r="J208" s="6">
        <v>2</v>
      </c>
      <c r="K208" s="6">
        <v>1</v>
      </c>
      <c r="L208" s="6">
        <v>15</v>
      </c>
      <c r="M208" s="6">
        <v>79772</v>
      </c>
      <c r="N208" s="6">
        <v>1595440</v>
      </c>
      <c r="O208" s="6">
        <v>25</v>
      </c>
      <c r="P208" s="7">
        <v>876.69740000000002</v>
      </c>
      <c r="Q208" s="7">
        <v>3686.8335000000002</v>
      </c>
      <c r="R208" s="9">
        <f>D208*VLOOKUP(1001,적!$A$4:$D$13,3,FALSE)</f>
        <v>33568.479334399999</v>
      </c>
      <c r="S208" s="9">
        <f>D208*VLOOKUP(F208,보스!$A$4:$E$5,4,FALSE)</f>
        <v>1208465.2560383999</v>
      </c>
    </row>
    <row r="209" spans="1:19" ht="21.95" customHeight="1">
      <c r="A209" s="6">
        <v>5206</v>
      </c>
      <c r="B209" s="2" t="s">
        <v>357</v>
      </c>
      <c r="C209" s="6">
        <v>206</v>
      </c>
      <c r="D209" s="7">
        <v>16946.600244000001</v>
      </c>
      <c r="E209" s="2" t="s">
        <v>152</v>
      </c>
      <c r="F209" s="6">
        <v>2002</v>
      </c>
      <c r="G209" s="6">
        <v>5</v>
      </c>
      <c r="H209" s="7">
        <v>30</v>
      </c>
      <c r="I209" s="6">
        <v>5</v>
      </c>
      <c r="J209" s="6">
        <v>2</v>
      </c>
      <c r="K209" s="6">
        <v>1</v>
      </c>
      <c r="L209" s="6">
        <v>15</v>
      </c>
      <c r="M209" s="6">
        <v>80183</v>
      </c>
      <c r="N209" s="6">
        <v>1603660</v>
      </c>
      <c r="O209" s="6">
        <v>25</v>
      </c>
      <c r="P209" s="7">
        <v>883.51559999999995</v>
      </c>
      <c r="Q209" s="7">
        <v>3715.5030000000002</v>
      </c>
      <c r="R209" s="9">
        <f>D209*VLOOKUP(1001,적!$A$4:$D$13,3,FALSE)</f>
        <v>33893.200488000002</v>
      </c>
      <c r="S209" s="9">
        <f>D209*VLOOKUP(F209,보스!$A$4:$E$5,4,FALSE)</f>
        <v>1220155.2175680001</v>
      </c>
    </row>
    <row r="210" spans="1:19" ht="21.95" customHeight="1">
      <c r="A210" s="6">
        <v>5207</v>
      </c>
      <c r="B210" s="2" t="s">
        <v>358</v>
      </c>
      <c r="C210" s="6">
        <v>207</v>
      </c>
      <c r="D210" s="7">
        <v>17109.97988336</v>
      </c>
      <c r="E210" s="2" t="s">
        <v>152</v>
      </c>
      <c r="F210" s="6">
        <v>2001</v>
      </c>
      <c r="G210" s="6">
        <v>5</v>
      </c>
      <c r="H210" s="7">
        <v>30</v>
      </c>
      <c r="I210" s="6">
        <v>5</v>
      </c>
      <c r="J210" s="6">
        <v>2</v>
      </c>
      <c r="K210" s="6">
        <v>1</v>
      </c>
      <c r="L210" s="6">
        <v>15</v>
      </c>
      <c r="M210" s="6">
        <v>80593</v>
      </c>
      <c r="N210" s="6">
        <v>1611860</v>
      </c>
      <c r="O210" s="6">
        <v>25</v>
      </c>
      <c r="P210" s="7">
        <v>890.35843999999997</v>
      </c>
      <c r="Q210" s="7">
        <v>3744.2761</v>
      </c>
      <c r="R210" s="9">
        <f>D210*VLOOKUP(1001,적!$A$4:$D$13,3,FALSE)</f>
        <v>34219.95976672</v>
      </c>
      <c r="S210" s="9">
        <f>D210*VLOOKUP(F210,보스!$A$4:$E$5,4,FALSE)</f>
        <v>1231918.55160192</v>
      </c>
    </row>
    <row r="211" spans="1:19" ht="21.95" customHeight="1">
      <c r="A211" s="6">
        <v>5208</v>
      </c>
      <c r="B211" s="2" t="s">
        <v>359</v>
      </c>
      <c r="C211" s="6">
        <v>208</v>
      </c>
      <c r="D211" s="7">
        <v>17274.3829348</v>
      </c>
      <c r="E211" s="2" t="s">
        <v>152</v>
      </c>
      <c r="F211" s="6">
        <v>2002</v>
      </c>
      <c r="G211" s="6">
        <v>5</v>
      </c>
      <c r="H211" s="7">
        <v>30</v>
      </c>
      <c r="I211" s="6">
        <v>5</v>
      </c>
      <c r="J211" s="6">
        <v>2</v>
      </c>
      <c r="K211" s="6">
        <v>1</v>
      </c>
      <c r="L211" s="6">
        <v>15</v>
      </c>
      <c r="M211" s="6">
        <v>81003</v>
      </c>
      <c r="N211" s="6">
        <v>1620060</v>
      </c>
      <c r="O211" s="6">
        <v>25</v>
      </c>
      <c r="P211" s="7">
        <v>897.22591999999997</v>
      </c>
      <c r="Q211" s="7">
        <v>3773.1527999999998</v>
      </c>
      <c r="R211" s="9">
        <f>D211*VLOOKUP(1001,적!$A$4:$D$13,3,FALSE)</f>
        <v>34548.7658696</v>
      </c>
      <c r="S211" s="9">
        <f>D211*VLOOKUP(F211,보스!$A$4:$E$5,4,FALSE)</f>
        <v>1243755.5713056</v>
      </c>
    </row>
    <row r="212" spans="1:19" ht="21.95" customHeight="1">
      <c r="A212" s="6">
        <v>5209</v>
      </c>
      <c r="B212" s="2" t="s">
        <v>360</v>
      </c>
      <c r="C212" s="6">
        <v>209</v>
      </c>
      <c r="D212" s="7">
        <v>17439.813765120001</v>
      </c>
      <c r="E212" s="2" t="s">
        <v>152</v>
      </c>
      <c r="F212" s="6">
        <v>2001</v>
      </c>
      <c r="G212" s="6">
        <v>5</v>
      </c>
      <c r="H212" s="7">
        <v>30</v>
      </c>
      <c r="I212" s="6">
        <v>5</v>
      </c>
      <c r="J212" s="6">
        <v>2</v>
      </c>
      <c r="K212" s="6">
        <v>1</v>
      </c>
      <c r="L212" s="6">
        <v>15</v>
      </c>
      <c r="M212" s="6">
        <v>81414</v>
      </c>
      <c r="N212" s="6">
        <v>1628280</v>
      </c>
      <c r="O212" s="6">
        <v>25</v>
      </c>
      <c r="P212" s="7">
        <v>904.11803999999995</v>
      </c>
      <c r="Q212" s="7">
        <v>3802.1331</v>
      </c>
      <c r="R212" s="9">
        <f>D212*VLOOKUP(1001,적!$A$4:$D$13,3,FALSE)</f>
        <v>34879.627530240003</v>
      </c>
      <c r="S212" s="9">
        <f>D212*VLOOKUP(F212,보스!$A$4:$E$5,4,FALSE)</f>
        <v>1255666.59108864</v>
      </c>
    </row>
    <row r="213" spans="1:19" ht="21.95" customHeight="1">
      <c r="A213" s="6">
        <v>5210</v>
      </c>
      <c r="B213" s="2" t="s">
        <v>361</v>
      </c>
      <c r="C213" s="6">
        <v>210</v>
      </c>
      <c r="D213" s="7">
        <v>17606.276758399999</v>
      </c>
      <c r="E213" s="2" t="s">
        <v>152</v>
      </c>
      <c r="F213" s="6">
        <v>2002</v>
      </c>
      <c r="G213" s="6">
        <v>5</v>
      </c>
      <c r="H213" s="7">
        <v>30</v>
      </c>
      <c r="I213" s="6">
        <v>5</v>
      </c>
      <c r="J213" s="6">
        <v>2</v>
      </c>
      <c r="K213" s="6">
        <v>1</v>
      </c>
      <c r="L213" s="6">
        <v>15</v>
      </c>
      <c r="M213" s="6">
        <v>81824</v>
      </c>
      <c r="N213" s="6">
        <v>1636480</v>
      </c>
      <c r="O213" s="6">
        <v>26</v>
      </c>
      <c r="P213" s="7">
        <v>911.03480000000002</v>
      </c>
      <c r="Q213" s="7">
        <v>3831.2170000000001</v>
      </c>
      <c r="R213" s="9">
        <f>D213*VLOOKUP(1001,적!$A$4:$D$13,3,FALSE)</f>
        <v>35212.553516799999</v>
      </c>
      <c r="S213" s="9">
        <f>D213*VLOOKUP(F213,보스!$A$4:$E$5,4,FALSE)</f>
        <v>1267651.9266047999</v>
      </c>
    </row>
    <row r="214" spans="1:19" ht="21.95" customHeight="1">
      <c r="A214" s="6">
        <v>5211</v>
      </c>
      <c r="B214" s="2" t="s">
        <v>362</v>
      </c>
      <c r="C214" s="6">
        <v>211</v>
      </c>
      <c r="D214" s="7">
        <v>17773.776315999999</v>
      </c>
      <c r="E214" s="2" t="s">
        <v>152</v>
      </c>
      <c r="F214" s="6">
        <v>2001</v>
      </c>
      <c r="G214" s="6">
        <v>5</v>
      </c>
      <c r="H214" s="7">
        <v>30</v>
      </c>
      <c r="I214" s="6">
        <v>5</v>
      </c>
      <c r="J214" s="6">
        <v>2</v>
      </c>
      <c r="K214" s="6">
        <v>1</v>
      </c>
      <c r="L214" s="6">
        <v>15</v>
      </c>
      <c r="M214" s="6">
        <v>82234</v>
      </c>
      <c r="N214" s="6">
        <v>1644680</v>
      </c>
      <c r="O214" s="6">
        <v>26</v>
      </c>
      <c r="P214" s="7">
        <v>917.97619999999995</v>
      </c>
      <c r="Q214" s="7">
        <v>3860.4045000000001</v>
      </c>
      <c r="R214" s="9">
        <f>D214*VLOOKUP(1001,적!$A$4:$D$13,3,FALSE)</f>
        <v>35547.552631999999</v>
      </c>
      <c r="S214" s="9">
        <f>D214*VLOOKUP(F214,보스!$A$4:$E$5,4,FALSE)</f>
        <v>1279711.894752</v>
      </c>
    </row>
    <row r="215" spans="1:19" ht="21.95" customHeight="1">
      <c r="A215" s="6">
        <v>5212</v>
      </c>
      <c r="B215" s="2" t="s">
        <v>363</v>
      </c>
      <c r="C215" s="6">
        <v>212</v>
      </c>
      <c r="D215" s="7">
        <v>17942.316856559999</v>
      </c>
      <c r="E215" s="2" t="s">
        <v>152</v>
      </c>
      <c r="F215" s="6">
        <v>2002</v>
      </c>
      <c r="G215" s="6">
        <v>5</v>
      </c>
      <c r="H215" s="7">
        <v>30</v>
      </c>
      <c r="I215" s="6">
        <v>5</v>
      </c>
      <c r="J215" s="6">
        <v>2</v>
      </c>
      <c r="K215" s="6">
        <v>1</v>
      </c>
      <c r="L215" s="6">
        <v>15</v>
      </c>
      <c r="M215" s="6">
        <v>82644</v>
      </c>
      <c r="N215" s="6">
        <v>1652880</v>
      </c>
      <c r="O215" s="6">
        <v>26</v>
      </c>
      <c r="P215" s="7">
        <v>924.94223999999997</v>
      </c>
      <c r="Q215" s="7">
        <v>3889.6956</v>
      </c>
      <c r="R215" s="9">
        <f>D215*VLOOKUP(1001,적!$A$4:$D$13,3,FALSE)</f>
        <v>35884.633713119998</v>
      </c>
      <c r="S215" s="9">
        <f>D215*VLOOKUP(F215,보스!$A$4:$E$5,4,FALSE)</f>
        <v>1291846.81367232</v>
      </c>
    </row>
    <row r="216" spans="1:19" ht="21.95" customHeight="1">
      <c r="A216" s="6">
        <v>5213</v>
      </c>
      <c r="B216" s="2" t="s">
        <v>364</v>
      </c>
      <c r="C216" s="6">
        <v>213</v>
      </c>
      <c r="D216" s="7">
        <v>18111.902816000002</v>
      </c>
      <c r="E216" s="2" t="s">
        <v>152</v>
      </c>
      <c r="F216" s="6">
        <v>2001</v>
      </c>
      <c r="G216" s="6">
        <v>5</v>
      </c>
      <c r="H216" s="7">
        <v>30</v>
      </c>
      <c r="I216" s="6">
        <v>5</v>
      </c>
      <c r="J216" s="6">
        <v>2</v>
      </c>
      <c r="K216" s="6">
        <v>1</v>
      </c>
      <c r="L216" s="6">
        <v>15</v>
      </c>
      <c r="M216" s="6">
        <v>83055</v>
      </c>
      <c r="N216" s="6">
        <v>1661100</v>
      </c>
      <c r="O216" s="6">
        <v>26</v>
      </c>
      <c r="P216" s="7">
        <v>931.93291999999997</v>
      </c>
      <c r="Q216" s="7">
        <v>3919.0902999999998</v>
      </c>
      <c r="R216" s="9">
        <f>D216*VLOOKUP(1001,적!$A$4:$D$13,3,FALSE)</f>
        <v>36223.805632000003</v>
      </c>
      <c r="S216" s="9">
        <f>D216*VLOOKUP(F216,보스!$A$4:$E$5,4,FALSE)</f>
        <v>1304057.002752</v>
      </c>
    </row>
    <row r="217" spans="1:19" ht="21.95" customHeight="1">
      <c r="A217" s="6">
        <v>5214</v>
      </c>
      <c r="B217" s="2" t="s">
        <v>365</v>
      </c>
      <c r="C217" s="6">
        <v>214</v>
      </c>
      <c r="D217" s="7">
        <v>18282.538647519999</v>
      </c>
      <c r="E217" s="2" t="s">
        <v>152</v>
      </c>
      <c r="F217" s="6">
        <v>2002</v>
      </c>
      <c r="G217" s="6">
        <v>5</v>
      </c>
      <c r="H217" s="7">
        <v>30</v>
      </c>
      <c r="I217" s="6">
        <v>5</v>
      </c>
      <c r="J217" s="6">
        <v>2</v>
      </c>
      <c r="K217" s="6">
        <v>1</v>
      </c>
      <c r="L217" s="6">
        <v>15</v>
      </c>
      <c r="M217" s="6">
        <v>83465</v>
      </c>
      <c r="N217" s="6">
        <v>1669300</v>
      </c>
      <c r="O217" s="6">
        <v>26</v>
      </c>
      <c r="P217" s="7">
        <v>938.94824000000006</v>
      </c>
      <c r="Q217" s="7">
        <v>3948.5886</v>
      </c>
      <c r="R217" s="9">
        <f>D217*VLOOKUP(1001,적!$A$4:$D$13,3,FALSE)</f>
        <v>36565.077295039999</v>
      </c>
      <c r="S217" s="9">
        <f>D217*VLOOKUP(F217,보스!$A$4:$E$5,4,FALSE)</f>
        <v>1316342.78262144</v>
      </c>
    </row>
    <row r="218" spans="1:19" ht="21.95" customHeight="1">
      <c r="A218" s="6">
        <v>5215</v>
      </c>
      <c r="B218" s="2" t="s">
        <v>366</v>
      </c>
      <c r="C218" s="6">
        <v>215</v>
      </c>
      <c r="D218" s="7">
        <v>18454.228821600002</v>
      </c>
      <c r="E218" s="2" t="s">
        <v>152</v>
      </c>
      <c r="F218" s="6">
        <v>2001</v>
      </c>
      <c r="G218" s="6">
        <v>5</v>
      </c>
      <c r="H218" s="7">
        <v>30</v>
      </c>
      <c r="I218" s="6">
        <v>5</v>
      </c>
      <c r="J218" s="6">
        <v>2</v>
      </c>
      <c r="K218" s="6">
        <v>1</v>
      </c>
      <c r="L218" s="6">
        <v>15</v>
      </c>
      <c r="M218" s="6">
        <v>83875</v>
      </c>
      <c r="N218" s="6">
        <v>1677500</v>
      </c>
      <c r="O218" s="6">
        <v>26</v>
      </c>
      <c r="P218" s="7">
        <v>945.98820000000001</v>
      </c>
      <c r="Q218" s="7">
        <v>3978.1905000000002</v>
      </c>
      <c r="R218" s="9">
        <f>D218*VLOOKUP(1001,적!$A$4:$D$13,3,FALSE)</f>
        <v>36908.457643200003</v>
      </c>
      <c r="S218" s="9">
        <f>D218*VLOOKUP(F218,보스!$A$4:$E$5,4,FALSE)</f>
        <v>1328704.4751552001</v>
      </c>
    </row>
    <row r="219" spans="1:19" ht="21.95" customHeight="1">
      <c r="A219" s="6">
        <v>5216</v>
      </c>
      <c r="B219" s="2" t="s">
        <v>367</v>
      </c>
      <c r="C219" s="6">
        <v>216</v>
      </c>
      <c r="D219" s="7">
        <v>18626.977825999998</v>
      </c>
      <c r="E219" s="2" t="s">
        <v>152</v>
      </c>
      <c r="F219" s="6">
        <v>2002</v>
      </c>
      <c r="G219" s="6">
        <v>5</v>
      </c>
      <c r="H219" s="7">
        <v>30</v>
      </c>
      <c r="I219" s="6">
        <v>5</v>
      </c>
      <c r="J219" s="6">
        <v>2</v>
      </c>
      <c r="K219" s="6">
        <v>1</v>
      </c>
      <c r="L219" s="6">
        <v>15</v>
      </c>
      <c r="M219" s="6">
        <v>84285</v>
      </c>
      <c r="N219" s="6">
        <v>1685700</v>
      </c>
      <c r="O219" s="6">
        <v>26</v>
      </c>
      <c r="P219" s="7">
        <v>953.05280000000005</v>
      </c>
      <c r="Q219" s="7">
        <v>4007.8960000000002</v>
      </c>
      <c r="R219" s="9">
        <f>D219*VLOOKUP(1001,적!$A$4:$D$13,3,FALSE)</f>
        <v>37253.955651999997</v>
      </c>
      <c r="S219" s="9">
        <f>D219*VLOOKUP(F219,보스!$A$4:$E$5,4,FALSE)</f>
        <v>1341142.4034719998</v>
      </c>
    </row>
    <row r="220" spans="1:19" ht="21.95" customHeight="1">
      <c r="A220" s="6">
        <v>5217</v>
      </c>
      <c r="B220" s="2" t="s">
        <v>368</v>
      </c>
      <c r="C220" s="6">
        <v>217</v>
      </c>
      <c r="D220" s="7">
        <v>18800.790165760001</v>
      </c>
      <c r="E220" s="2" t="s">
        <v>152</v>
      </c>
      <c r="F220" s="6">
        <v>2001</v>
      </c>
      <c r="G220" s="6">
        <v>5</v>
      </c>
      <c r="H220" s="7">
        <v>30</v>
      </c>
      <c r="I220" s="6">
        <v>5</v>
      </c>
      <c r="J220" s="6">
        <v>2</v>
      </c>
      <c r="K220" s="6">
        <v>1</v>
      </c>
      <c r="L220" s="6">
        <v>15</v>
      </c>
      <c r="M220" s="6">
        <v>84695</v>
      </c>
      <c r="N220" s="6">
        <v>1693900</v>
      </c>
      <c r="O220" s="6">
        <v>26</v>
      </c>
      <c r="P220" s="7">
        <v>960.14203999999995</v>
      </c>
      <c r="Q220" s="7">
        <v>4037.7051000000001</v>
      </c>
      <c r="R220" s="9">
        <f>D220*VLOOKUP(1001,적!$A$4:$D$13,3,FALSE)</f>
        <v>37601.580331520003</v>
      </c>
      <c r="S220" s="9">
        <f>D220*VLOOKUP(F220,보스!$A$4:$E$5,4,FALSE)</f>
        <v>1353656.8919347201</v>
      </c>
    </row>
    <row r="221" spans="1:19" ht="21.95" customHeight="1">
      <c r="A221" s="6">
        <v>5218</v>
      </c>
      <c r="B221" s="2" t="s">
        <v>369</v>
      </c>
      <c r="C221" s="6">
        <v>218</v>
      </c>
      <c r="D221" s="7">
        <v>18975.670363199999</v>
      </c>
      <c r="E221" s="2" t="s">
        <v>152</v>
      </c>
      <c r="F221" s="6">
        <v>2002</v>
      </c>
      <c r="G221" s="6">
        <v>5</v>
      </c>
      <c r="H221" s="7">
        <v>30</v>
      </c>
      <c r="I221" s="6">
        <v>5</v>
      </c>
      <c r="J221" s="6">
        <v>2</v>
      </c>
      <c r="K221" s="6">
        <v>1</v>
      </c>
      <c r="L221" s="6">
        <v>15</v>
      </c>
      <c r="M221" s="6">
        <v>85105</v>
      </c>
      <c r="N221" s="6">
        <v>1702100</v>
      </c>
      <c r="O221" s="6">
        <v>26</v>
      </c>
      <c r="P221" s="7">
        <v>967.25591999999995</v>
      </c>
      <c r="Q221" s="7">
        <v>4067.6178</v>
      </c>
      <c r="R221" s="9">
        <f>D221*VLOOKUP(1001,적!$A$4:$D$13,3,FALSE)</f>
        <v>37951.340726399998</v>
      </c>
      <c r="S221" s="9">
        <f>D221*VLOOKUP(F221,보스!$A$4:$E$5,4,FALSE)</f>
        <v>1366248.2661504</v>
      </c>
    </row>
    <row r="222" spans="1:19" ht="21.95" customHeight="1">
      <c r="A222" s="6">
        <v>5219</v>
      </c>
      <c r="B222" s="2" t="s">
        <v>370</v>
      </c>
      <c r="C222" s="6">
        <v>219</v>
      </c>
      <c r="D222" s="7">
        <v>19151.622957920001</v>
      </c>
      <c r="E222" s="2" t="s">
        <v>152</v>
      </c>
      <c r="F222" s="6">
        <v>2001</v>
      </c>
      <c r="G222" s="6">
        <v>5</v>
      </c>
      <c r="H222" s="7">
        <v>30</v>
      </c>
      <c r="I222" s="6">
        <v>5</v>
      </c>
      <c r="J222" s="6">
        <v>2</v>
      </c>
      <c r="K222" s="6">
        <v>1</v>
      </c>
      <c r="L222" s="6">
        <v>15</v>
      </c>
      <c r="M222" s="6">
        <v>85515</v>
      </c>
      <c r="N222" s="6">
        <v>1710300</v>
      </c>
      <c r="O222" s="6">
        <v>26</v>
      </c>
      <c r="P222" s="7">
        <v>974.39444000000003</v>
      </c>
      <c r="Q222" s="7">
        <v>4097.6341000000002</v>
      </c>
      <c r="R222" s="9">
        <f>D222*VLOOKUP(1001,적!$A$4:$D$13,3,FALSE)</f>
        <v>38303.245915840002</v>
      </c>
      <c r="S222" s="9">
        <f>D222*VLOOKUP(F222,보스!$A$4:$E$5,4,FALSE)</f>
        <v>1378916.8529702402</v>
      </c>
    </row>
    <row r="223" spans="1:19" ht="21.95" customHeight="1">
      <c r="A223" s="6">
        <v>5220</v>
      </c>
      <c r="B223" s="2" t="s">
        <v>371</v>
      </c>
      <c r="C223" s="6">
        <v>220</v>
      </c>
      <c r="D223" s="7">
        <v>19328.652506800001</v>
      </c>
      <c r="E223" s="2" t="s">
        <v>152</v>
      </c>
      <c r="F223" s="6">
        <v>2002</v>
      </c>
      <c r="G223" s="6">
        <v>5</v>
      </c>
      <c r="H223" s="7">
        <v>30</v>
      </c>
      <c r="I223" s="6">
        <v>5</v>
      </c>
      <c r="J223" s="6">
        <v>2</v>
      </c>
      <c r="K223" s="6">
        <v>1</v>
      </c>
      <c r="L223" s="6">
        <v>15</v>
      </c>
      <c r="M223" s="6">
        <v>85925</v>
      </c>
      <c r="N223" s="6">
        <v>1718500</v>
      </c>
      <c r="O223" s="6">
        <v>27</v>
      </c>
      <c r="P223" s="7">
        <v>981.55759999999998</v>
      </c>
      <c r="Q223" s="7">
        <v>4127.7539999999999</v>
      </c>
      <c r="R223" s="9">
        <f>D223*VLOOKUP(1001,적!$A$4:$D$13,3,FALSE)</f>
        <v>38657.305013600002</v>
      </c>
      <c r="S223" s="9">
        <f>D223*VLOOKUP(F223,보스!$A$4:$E$5,4,FALSE)</f>
        <v>1391662.9804896</v>
      </c>
    </row>
    <row r="224" spans="1:19" ht="21.95" customHeight="1">
      <c r="A224" s="6">
        <v>5221</v>
      </c>
      <c r="B224" s="2" t="s">
        <v>372</v>
      </c>
      <c r="C224" s="6">
        <v>221</v>
      </c>
      <c r="D224" s="7">
        <v>19506.763584</v>
      </c>
      <c r="E224" s="2" t="s">
        <v>152</v>
      </c>
      <c r="F224" s="6">
        <v>2001</v>
      </c>
      <c r="G224" s="6">
        <v>5</v>
      </c>
      <c r="H224" s="7">
        <v>30</v>
      </c>
      <c r="I224" s="6">
        <v>5</v>
      </c>
      <c r="J224" s="6">
        <v>2</v>
      </c>
      <c r="K224" s="6">
        <v>1</v>
      </c>
      <c r="L224" s="6">
        <v>15</v>
      </c>
      <c r="M224" s="6">
        <v>86335</v>
      </c>
      <c r="N224" s="6">
        <v>1726700</v>
      </c>
      <c r="O224" s="6">
        <v>27</v>
      </c>
      <c r="P224" s="7">
        <v>988.74540000000002</v>
      </c>
      <c r="Q224" s="7">
        <v>4157.9775</v>
      </c>
      <c r="R224" s="9">
        <f>D224*VLOOKUP(1001,적!$A$4:$D$13,3,FALSE)</f>
        <v>39013.527168000001</v>
      </c>
      <c r="S224" s="9">
        <f>D224*VLOOKUP(F224,보스!$A$4:$E$5,4,FALSE)</f>
        <v>1404486.978048</v>
      </c>
    </row>
    <row r="225" spans="1:19" ht="21.95" customHeight="1">
      <c r="A225" s="6">
        <v>5222</v>
      </c>
      <c r="B225" s="2" t="s">
        <v>373</v>
      </c>
      <c r="C225" s="6">
        <v>222</v>
      </c>
      <c r="D225" s="7">
        <v>19685.960780959998</v>
      </c>
      <c r="E225" s="2" t="s">
        <v>152</v>
      </c>
      <c r="F225" s="6">
        <v>2002</v>
      </c>
      <c r="G225" s="6">
        <v>5</v>
      </c>
      <c r="H225" s="7">
        <v>30</v>
      </c>
      <c r="I225" s="6">
        <v>5</v>
      </c>
      <c r="J225" s="6">
        <v>2</v>
      </c>
      <c r="K225" s="6">
        <v>1</v>
      </c>
      <c r="L225" s="6">
        <v>15</v>
      </c>
      <c r="M225" s="6">
        <v>86745</v>
      </c>
      <c r="N225" s="6">
        <v>1734900</v>
      </c>
      <c r="O225" s="6">
        <v>27</v>
      </c>
      <c r="P225" s="7">
        <v>995.95784000000003</v>
      </c>
      <c r="Q225" s="7">
        <v>4188.3046000000004</v>
      </c>
      <c r="R225" s="9">
        <f>D225*VLOOKUP(1001,적!$A$4:$D$13,3,FALSE)</f>
        <v>39371.921561919997</v>
      </c>
      <c r="S225" s="9">
        <f>D225*VLOOKUP(F225,보스!$A$4:$E$5,4,FALSE)</f>
        <v>1417389.1762291198</v>
      </c>
    </row>
    <row r="226" spans="1:19" ht="21.95" customHeight="1">
      <c r="A226" s="6">
        <v>5223</v>
      </c>
      <c r="B226" s="2" t="s">
        <v>374</v>
      </c>
      <c r="C226" s="6">
        <v>223</v>
      </c>
      <c r="D226" s="7">
        <v>19866.248706400002</v>
      </c>
      <c r="E226" s="2" t="s">
        <v>152</v>
      </c>
      <c r="F226" s="6">
        <v>2001</v>
      </c>
      <c r="G226" s="6">
        <v>5</v>
      </c>
      <c r="H226" s="7">
        <v>30</v>
      </c>
      <c r="I226" s="6">
        <v>5</v>
      </c>
      <c r="J226" s="6">
        <v>2</v>
      </c>
      <c r="K226" s="6">
        <v>1</v>
      </c>
      <c r="L226" s="6">
        <v>15</v>
      </c>
      <c r="M226" s="6">
        <v>87154</v>
      </c>
      <c r="N226" s="6">
        <v>1743080</v>
      </c>
      <c r="O226" s="6">
        <v>27</v>
      </c>
      <c r="P226" s="7">
        <v>1003.19492</v>
      </c>
      <c r="Q226" s="7">
        <v>4218.7353000000003</v>
      </c>
      <c r="R226" s="9">
        <f>D226*VLOOKUP(1001,적!$A$4:$D$13,3,FALSE)</f>
        <v>39732.497412800003</v>
      </c>
      <c r="S226" s="9">
        <f>D226*VLOOKUP(F226,보스!$A$4:$E$5,4,FALSE)</f>
        <v>1430369.9068608</v>
      </c>
    </row>
    <row r="227" spans="1:19" ht="21.95" customHeight="1">
      <c r="A227" s="6">
        <v>5224</v>
      </c>
      <c r="B227" s="2" t="s">
        <v>375</v>
      </c>
      <c r="C227" s="6">
        <v>224</v>
      </c>
      <c r="D227" s="7">
        <v>20047.631986320001</v>
      </c>
      <c r="E227" s="2" t="s">
        <v>152</v>
      </c>
      <c r="F227" s="6">
        <v>2002</v>
      </c>
      <c r="G227" s="6">
        <v>5</v>
      </c>
      <c r="H227" s="7">
        <v>30</v>
      </c>
      <c r="I227" s="6">
        <v>5</v>
      </c>
      <c r="J227" s="6">
        <v>2</v>
      </c>
      <c r="K227" s="6">
        <v>1</v>
      </c>
      <c r="L227" s="6">
        <v>15</v>
      </c>
      <c r="M227" s="6">
        <v>87564</v>
      </c>
      <c r="N227" s="6">
        <v>1751280</v>
      </c>
      <c r="O227" s="6">
        <v>27</v>
      </c>
      <c r="P227" s="7">
        <v>1010.45664</v>
      </c>
      <c r="Q227" s="7">
        <v>4249.2695999999996</v>
      </c>
      <c r="R227" s="9">
        <f>D227*VLOOKUP(1001,적!$A$4:$D$13,3,FALSE)</f>
        <v>40095.263972640001</v>
      </c>
      <c r="S227" s="9">
        <f>D227*VLOOKUP(F227,보스!$A$4:$E$5,4,FALSE)</f>
        <v>1443429.50301504</v>
      </c>
    </row>
    <row r="228" spans="1:19" ht="21.95" customHeight="1">
      <c r="A228" s="6">
        <v>5225</v>
      </c>
      <c r="B228" s="2" t="s">
        <v>376</v>
      </c>
      <c r="C228" s="6">
        <v>225</v>
      </c>
      <c r="D228" s="7">
        <v>20230.115264</v>
      </c>
      <c r="E228" s="2" t="s">
        <v>152</v>
      </c>
      <c r="F228" s="6">
        <v>2001</v>
      </c>
      <c r="G228" s="6">
        <v>5</v>
      </c>
      <c r="H228" s="7">
        <v>30</v>
      </c>
      <c r="I228" s="6">
        <v>5</v>
      </c>
      <c r="J228" s="6">
        <v>2</v>
      </c>
      <c r="K228" s="6">
        <v>1</v>
      </c>
      <c r="L228" s="6">
        <v>15</v>
      </c>
      <c r="M228" s="6">
        <v>87974</v>
      </c>
      <c r="N228" s="6">
        <v>1759480</v>
      </c>
      <c r="O228" s="6">
        <v>27</v>
      </c>
      <c r="P228" s="7">
        <v>1017.7430000000001</v>
      </c>
      <c r="Q228" s="7">
        <v>4279.9075000000003</v>
      </c>
      <c r="R228" s="9">
        <f>D228*VLOOKUP(1001,적!$A$4:$D$13,3,FALSE)</f>
        <v>40460.230528</v>
      </c>
      <c r="S228" s="9">
        <f>D228*VLOOKUP(F228,보스!$A$4:$E$5,4,FALSE)</f>
        <v>1456568.2990079999</v>
      </c>
    </row>
    <row r="229" spans="1:19" ht="21.95" customHeight="1">
      <c r="A229" s="6">
        <v>5226</v>
      </c>
      <c r="B229" s="2" t="s">
        <v>377</v>
      </c>
      <c r="C229" s="6">
        <v>226</v>
      </c>
      <c r="D229" s="7">
        <v>20413.7032</v>
      </c>
      <c r="E229" s="2" t="s">
        <v>152</v>
      </c>
      <c r="F229" s="6">
        <v>2002</v>
      </c>
      <c r="G229" s="6">
        <v>5</v>
      </c>
      <c r="H229" s="7">
        <v>30</v>
      </c>
      <c r="I229" s="6">
        <v>5</v>
      </c>
      <c r="J229" s="6">
        <v>2</v>
      </c>
      <c r="K229" s="6">
        <v>1</v>
      </c>
      <c r="L229" s="6">
        <v>15</v>
      </c>
      <c r="M229" s="6">
        <v>88384</v>
      </c>
      <c r="N229" s="6">
        <v>1767680</v>
      </c>
      <c r="O229" s="6">
        <v>27</v>
      </c>
      <c r="P229" s="7">
        <v>1025.0540000000001</v>
      </c>
      <c r="Q229" s="7">
        <v>4310.6490000000003</v>
      </c>
      <c r="R229" s="9">
        <f>D229*VLOOKUP(1001,적!$A$4:$D$13,3,FALSE)</f>
        <v>40827.4064</v>
      </c>
      <c r="S229" s="9">
        <f>D229*VLOOKUP(F229,보스!$A$4:$E$5,4,FALSE)</f>
        <v>1469786.6303999999</v>
      </c>
    </row>
    <row r="230" spans="1:19" ht="21.95" customHeight="1">
      <c r="A230" s="6">
        <v>5227</v>
      </c>
      <c r="B230" s="2" t="s">
        <v>378</v>
      </c>
      <c r="C230" s="6">
        <v>227</v>
      </c>
      <c r="D230" s="7">
        <v>20598.400472159999</v>
      </c>
      <c r="E230" s="2" t="s">
        <v>152</v>
      </c>
      <c r="F230" s="6">
        <v>2001</v>
      </c>
      <c r="G230" s="6">
        <v>5</v>
      </c>
      <c r="H230" s="7">
        <v>30</v>
      </c>
      <c r="I230" s="6">
        <v>5</v>
      </c>
      <c r="J230" s="6">
        <v>2</v>
      </c>
      <c r="K230" s="6">
        <v>1</v>
      </c>
      <c r="L230" s="6">
        <v>15</v>
      </c>
      <c r="M230" s="6">
        <v>88793</v>
      </c>
      <c r="N230" s="6">
        <v>1775860</v>
      </c>
      <c r="O230" s="6">
        <v>27</v>
      </c>
      <c r="P230" s="7">
        <v>1032.3896400000001</v>
      </c>
      <c r="Q230" s="7">
        <v>4341.4940999999999</v>
      </c>
      <c r="R230" s="9">
        <f>D230*VLOOKUP(1001,적!$A$4:$D$13,3,FALSE)</f>
        <v>41196.800944319999</v>
      </c>
      <c r="S230" s="9">
        <f>D230*VLOOKUP(F230,보스!$A$4:$E$5,4,FALSE)</f>
        <v>1483084.8339955199</v>
      </c>
    </row>
    <row r="231" spans="1:19" ht="21.95" customHeight="1">
      <c r="A231" s="6">
        <v>5228</v>
      </c>
      <c r="B231" s="2" t="s">
        <v>379</v>
      </c>
      <c r="C231" s="6">
        <v>228</v>
      </c>
      <c r="D231" s="7">
        <v>20784.211775600001</v>
      </c>
      <c r="E231" s="2" t="s">
        <v>152</v>
      </c>
      <c r="F231" s="6">
        <v>2002</v>
      </c>
      <c r="G231" s="6">
        <v>5</v>
      </c>
      <c r="H231" s="7">
        <v>30</v>
      </c>
      <c r="I231" s="6">
        <v>5</v>
      </c>
      <c r="J231" s="6">
        <v>2</v>
      </c>
      <c r="K231" s="6">
        <v>1</v>
      </c>
      <c r="L231" s="6">
        <v>15</v>
      </c>
      <c r="M231" s="6">
        <v>89203</v>
      </c>
      <c r="N231" s="6">
        <v>1784060</v>
      </c>
      <c r="O231" s="6">
        <v>27</v>
      </c>
      <c r="P231" s="7">
        <v>1039.74992</v>
      </c>
      <c r="Q231" s="7">
        <v>4372.4427999999998</v>
      </c>
      <c r="R231" s="9">
        <f>D231*VLOOKUP(1001,적!$A$4:$D$13,3,FALSE)</f>
        <v>41568.423551200001</v>
      </c>
      <c r="S231" s="9">
        <f>D231*VLOOKUP(F231,보스!$A$4:$E$5,4,FALSE)</f>
        <v>1496463.2478432001</v>
      </c>
    </row>
    <row r="232" spans="1:19" ht="21.95" customHeight="1">
      <c r="A232" s="6">
        <v>5229</v>
      </c>
      <c r="B232" s="2" t="s">
        <v>380</v>
      </c>
      <c r="C232" s="6">
        <v>229</v>
      </c>
      <c r="D232" s="7">
        <v>20971.141822720001</v>
      </c>
      <c r="E232" s="2" t="s">
        <v>152</v>
      </c>
      <c r="F232" s="6">
        <v>2001</v>
      </c>
      <c r="G232" s="6">
        <v>5</v>
      </c>
      <c r="H232" s="7">
        <v>30</v>
      </c>
      <c r="I232" s="6">
        <v>5</v>
      </c>
      <c r="J232" s="6">
        <v>2</v>
      </c>
      <c r="K232" s="6">
        <v>1</v>
      </c>
      <c r="L232" s="6">
        <v>15</v>
      </c>
      <c r="M232" s="6">
        <v>89613</v>
      </c>
      <c r="N232" s="6">
        <v>1792260</v>
      </c>
      <c r="O232" s="6">
        <v>27</v>
      </c>
      <c r="P232" s="7">
        <v>1047.1348399999999</v>
      </c>
      <c r="Q232" s="7">
        <v>4403.4951000000001</v>
      </c>
      <c r="R232" s="9">
        <f>D232*VLOOKUP(1001,적!$A$4:$D$13,3,FALSE)</f>
        <v>41942.283645440002</v>
      </c>
      <c r="S232" s="9">
        <f>D232*VLOOKUP(F232,보스!$A$4:$E$5,4,FALSE)</f>
        <v>1509922.2112358401</v>
      </c>
    </row>
    <row r="233" spans="1:19" ht="21.95" customHeight="1">
      <c r="A233" s="6">
        <v>5230</v>
      </c>
      <c r="B233" s="2" t="s">
        <v>381</v>
      </c>
      <c r="C233" s="6">
        <v>230</v>
      </c>
      <c r="D233" s="7">
        <v>21159.195343200001</v>
      </c>
      <c r="E233" s="2" t="s">
        <v>152</v>
      </c>
      <c r="F233" s="6">
        <v>2002</v>
      </c>
      <c r="G233" s="6">
        <v>5</v>
      </c>
      <c r="H233" s="7">
        <v>30</v>
      </c>
      <c r="I233" s="6">
        <v>5</v>
      </c>
      <c r="J233" s="6">
        <v>2</v>
      </c>
      <c r="K233" s="6">
        <v>1</v>
      </c>
      <c r="L233" s="6">
        <v>15</v>
      </c>
      <c r="M233" s="6">
        <v>90022</v>
      </c>
      <c r="N233" s="6">
        <v>1800440</v>
      </c>
      <c r="O233" s="6">
        <v>28</v>
      </c>
      <c r="P233" s="7">
        <v>1054.5444</v>
      </c>
      <c r="Q233" s="7">
        <v>4434.6509999999998</v>
      </c>
      <c r="R233" s="9">
        <f>D233*VLOOKUP(1001,적!$A$4:$D$13,3,FALSE)</f>
        <v>42318.390686400002</v>
      </c>
      <c r="S233" s="9">
        <f>D233*VLOOKUP(F233,보스!$A$4:$E$5,4,FALSE)</f>
        <v>1523462.0647104001</v>
      </c>
    </row>
    <row r="234" spans="1:19" ht="21.95" customHeight="1">
      <c r="A234" s="6">
        <v>5231</v>
      </c>
      <c r="B234" s="2" t="s">
        <v>382</v>
      </c>
      <c r="C234" s="6">
        <v>231</v>
      </c>
      <c r="D234" s="7">
        <v>21348.377084</v>
      </c>
      <c r="E234" s="2" t="s">
        <v>152</v>
      </c>
      <c r="F234" s="6">
        <v>2001</v>
      </c>
      <c r="G234" s="6">
        <v>5</v>
      </c>
      <c r="H234" s="7">
        <v>30</v>
      </c>
      <c r="I234" s="6">
        <v>5</v>
      </c>
      <c r="J234" s="6">
        <v>2</v>
      </c>
      <c r="K234" s="6">
        <v>1</v>
      </c>
      <c r="L234" s="6">
        <v>15</v>
      </c>
      <c r="M234" s="6">
        <v>90432</v>
      </c>
      <c r="N234" s="6">
        <v>1808640</v>
      </c>
      <c r="O234" s="6">
        <v>28</v>
      </c>
      <c r="P234" s="7">
        <v>1061.9785999999999</v>
      </c>
      <c r="Q234" s="7">
        <v>4465.9105</v>
      </c>
      <c r="R234" s="9">
        <f>D234*VLOOKUP(1001,적!$A$4:$D$13,3,FALSE)</f>
        <v>42696.754167999999</v>
      </c>
      <c r="S234" s="9">
        <f>D234*VLOOKUP(F234,보스!$A$4:$E$5,4,FALSE)</f>
        <v>1537083.150048</v>
      </c>
    </row>
    <row r="235" spans="1:19" ht="21.95" customHeight="1">
      <c r="A235" s="6">
        <v>5232</v>
      </c>
      <c r="B235" s="2" t="s">
        <v>383</v>
      </c>
      <c r="C235" s="6">
        <v>232</v>
      </c>
      <c r="D235" s="7">
        <v>21538.69180936</v>
      </c>
      <c r="E235" s="2" t="s">
        <v>152</v>
      </c>
      <c r="F235" s="6">
        <v>2002</v>
      </c>
      <c r="G235" s="6">
        <v>5</v>
      </c>
      <c r="H235" s="7">
        <v>30</v>
      </c>
      <c r="I235" s="6">
        <v>5</v>
      </c>
      <c r="J235" s="6">
        <v>2</v>
      </c>
      <c r="K235" s="6">
        <v>1</v>
      </c>
      <c r="L235" s="6">
        <v>15</v>
      </c>
      <c r="M235" s="6">
        <v>90841</v>
      </c>
      <c r="N235" s="6">
        <v>1816820</v>
      </c>
      <c r="O235" s="6">
        <v>28</v>
      </c>
      <c r="P235" s="7">
        <v>1069.4374399999999</v>
      </c>
      <c r="Q235" s="7">
        <v>4497.2736000000004</v>
      </c>
      <c r="R235" s="9">
        <f>D235*VLOOKUP(1001,적!$A$4:$D$13,3,FALSE)</f>
        <v>43077.38361872</v>
      </c>
      <c r="S235" s="9">
        <f>D235*VLOOKUP(F235,보스!$A$4:$E$5,4,FALSE)</f>
        <v>1550785.81027392</v>
      </c>
    </row>
    <row r="236" spans="1:19" ht="21.95" customHeight="1">
      <c r="A236" s="6">
        <v>5233</v>
      </c>
      <c r="B236" s="2" t="s">
        <v>384</v>
      </c>
      <c r="C236" s="6">
        <v>233</v>
      </c>
      <c r="D236" s="7">
        <v>21730.144300799999</v>
      </c>
      <c r="E236" s="2" t="s">
        <v>152</v>
      </c>
      <c r="F236" s="6">
        <v>2001</v>
      </c>
      <c r="G236" s="6">
        <v>5</v>
      </c>
      <c r="H236" s="7">
        <v>30</v>
      </c>
      <c r="I236" s="6">
        <v>5</v>
      </c>
      <c r="J236" s="6">
        <v>2</v>
      </c>
      <c r="K236" s="6">
        <v>1</v>
      </c>
      <c r="L236" s="6">
        <v>15</v>
      </c>
      <c r="M236" s="6">
        <v>91251</v>
      </c>
      <c r="N236" s="6">
        <v>1825020</v>
      </c>
      <c r="O236" s="6">
        <v>28</v>
      </c>
      <c r="P236" s="7">
        <v>1076.92092</v>
      </c>
      <c r="Q236" s="7">
        <v>4528.7403000000004</v>
      </c>
      <c r="R236" s="9">
        <f>D236*VLOOKUP(1001,적!$A$4:$D$13,3,FALSE)</f>
        <v>43460.288601599997</v>
      </c>
      <c r="S236" s="9">
        <f>D236*VLOOKUP(F236,보스!$A$4:$E$5,4,FALSE)</f>
        <v>1564570.3896575999</v>
      </c>
    </row>
    <row r="237" spans="1:19" ht="21.95" customHeight="1">
      <c r="A237" s="6">
        <v>5234</v>
      </c>
      <c r="B237" s="2" t="s">
        <v>385</v>
      </c>
      <c r="C237" s="6">
        <v>234</v>
      </c>
      <c r="D237" s="7">
        <v>21922.739357120001</v>
      </c>
      <c r="E237" s="2" t="s">
        <v>152</v>
      </c>
      <c r="F237" s="6">
        <v>2002</v>
      </c>
      <c r="G237" s="6">
        <v>5</v>
      </c>
      <c r="H237" s="7">
        <v>30</v>
      </c>
      <c r="I237" s="6">
        <v>5</v>
      </c>
      <c r="J237" s="6">
        <v>2</v>
      </c>
      <c r="K237" s="6">
        <v>1</v>
      </c>
      <c r="L237" s="6">
        <v>15</v>
      </c>
      <c r="M237" s="6">
        <v>91660</v>
      </c>
      <c r="N237" s="6">
        <v>1833200</v>
      </c>
      <c r="O237" s="6">
        <v>28</v>
      </c>
      <c r="P237" s="7">
        <v>1084.42904</v>
      </c>
      <c r="Q237" s="7">
        <v>4560.3105999999998</v>
      </c>
      <c r="R237" s="9">
        <f>D237*VLOOKUP(1001,적!$A$4:$D$13,3,FALSE)</f>
        <v>43845.478714240002</v>
      </c>
      <c r="S237" s="9">
        <f>D237*VLOOKUP(F237,보스!$A$4:$E$5,4,FALSE)</f>
        <v>1578437.2337126401</v>
      </c>
    </row>
    <row r="238" spans="1:19" ht="21.95" customHeight="1">
      <c r="A238" s="6">
        <v>5235</v>
      </c>
      <c r="B238" s="2" t="s">
        <v>386</v>
      </c>
      <c r="C238" s="6">
        <v>235</v>
      </c>
      <c r="D238" s="7">
        <v>22116.481794399999</v>
      </c>
      <c r="E238" s="2" t="s">
        <v>152</v>
      </c>
      <c r="F238" s="6">
        <v>2001</v>
      </c>
      <c r="G238" s="6">
        <v>5</v>
      </c>
      <c r="H238" s="7">
        <v>30</v>
      </c>
      <c r="I238" s="6">
        <v>5</v>
      </c>
      <c r="J238" s="6">
        <v>2</v>
      </c>
      <c r="K238" s="6">
        <v>1</v>
      </c>
      <c r="L238" s="6">
        <v>15</v>
      </c>
      <c r="M238" s="6">
        <v>92070</v>
      </c>
      <c r="N238" s="6">
        <v>1841400</v>
      </c>
      <c r="O238" s="6">
        <v>28</v>
      </c>
      <c r="P238" s="7">
        <v>1091.9618</v>
      </c>
      <c r="Q238" s="7">
        <v>4591.9844999999996</v>
      </c>
      <c r="R238" s="9">
        <f>D238*VLOOKUP(1001,적!$A$4:$D$13,3,FALSE)</f>
        <v>44232.963588799998</v>
      </c>
      <c r="S238" s="9">
        <f>D238*VLOOKUP(F238,보스!$A$4:$E$5,4,FALSE)</f>
        <v>1592386.6891967999</v>
      </c>
    </row>
    <row r="239" spans="1:19" ht="21.95" customHeight="1">
      <c r="A239" s="6">
        <v>5236</v>
      </c>
      <c r="B239" s="2" t="s">
        <v>387</v>
      </c>
      <c r="C239" s="6">
        <v>236</v>
      </c>
      <c r="D239" s="7">
        <v>22311.376445999998</v>
      </c>
      <c r="E239" s="2" t="s">
        <v>152</v>
      </c>
      <c r="F239" s="6">
        <v>2002</v>
      </c>
      <c r="G239" s="6">
        <v>5</v>
      </c>
      <c r="H239" s="7">
        <v>30</v>
      </c>
      <c r="I239" s="6">
        <v>5</v>
      </c>
      <c r="J239" s="6">
        <v>2</v>
      </c>
      <c r="K239" s="6">
        <v>1</v>
      </c>
      <c r="L239" s="6">
        <v>15</v>
      </c>
      <c r="M239" s="6">
        <v>92479</v>
      </c>
      <c r="N239" s="6">
        <v>1849580</v>
      </c>
      <c r="O239" s="6">
        <v>28</v>
      </c>
      <c r="P239" s="7">
        <v>1099.5192</v>
      </c>
      <c r="Q239" s="7">
        <v>4623.7619999999997</v>
      </c>
      <c r="R239" s="9">
        <f>D239*VLOOKUP(1001,적!$A$4:$D$13,3,FALSE)</f>
        <v>44622.752891999997</v>
      </c>
      <c r="S239" s="9">
        <f>D239*VLOOKUP(F239,보스!$A$4:$E$5,4,FALSE)</f>
        <v>1606419.104112</v>
      </c>
    </row>
    <row r="240" spans="1:19" ht="21.95" customHeight="1">
      <c r="A240" s="6">
        <v>5237</v>
      </c>
      <c r="B240" s="2" t="s">
        <v>388</v>
      </c>
      <c r="C240" s="6">
        <v>237</v>
      </c>
      <c r="D240" s="7">
        <v>22507.428162560002</v>
      </c>
      <c r="E240" s="2" t="s">
        <v>152</v>
      </c>
      <c r="F240" s="6">
        <v>2001</v>
      </c>
      <c r="G240" s="6">
        <v>5</v>
      </c>
      <c r="H240" s="7">
        <v>30</v>
      </c>
      <c r="I240" s="6">
        <v>5</v>
      </c>
      <c r="J240" s="6">
        <v>2</v>
      </c>
      <c r="K240" s="6">
        <v>1</v>
      </c>
      <c r="L240" s="6">
        <v>15</v>
      </c>
      <c r="M240" s="6">
        <v>92889</v>
      </c>
      <c r="N240" s="6">
        <v>1857780</v>
      </c>
      <c r="O240" s="6">
        <v>28</v>
      </c>
      <c r="P240" s="7">
        <v>1107.10124</v>
      </c>
      <c r="Q240" s="7">
        <v>4655.6431000000002</v>
      </c>
      <c r="R240" s="9">
        <f>D240*VLOOKUP(1001,적!$A$4:$D$13,3,FALSE)</f>
        <v>45014.856325120003</v>
      </c>
      <c r="S240" s="9">
        <f>D240*VLOOKUP(F240,보스!$A$4:$E$5,4,FALSE)</f>
        <v>1620534.8277043202</v>
      </c>
    </row>
    <row r="241" spans="1:19" ht="21.95" customHeight="1">
      <c r="A241" s="6">
        <v>5238</v>
      </c>
      <c r="B241" s="2" t="s">
        <v>389</v>
      </c>
      <c r="C241" s="6">
        <v>238</v>
      </c>
      <c r="D241" s="7">
        <v>22704.641812000002</v>
      </c>
      <c r="E241" s="2" t="s">
        <v>152</v>
      </c>
      <c r="F241" s="6">
        <v>2002</v>
      </c>
      <c r="G241" s="6">
        <v>5</v>
      </c>
      <c r="H241" s="7">
        <v>30</v>
      </c>
      <c r="I241" s="6">
        <v>5</v>
      </c>
      <c r="J241" s="6">
        <v>2</v>
      </c>
      <c r="K241" s="6">
        <v>1</v>
      </c>
      <c r="L241" s="6">
        <v>15</v>
      </c>
      <c r="M241" s="6">
        <v>93298</v>
      </c>
      <c r="N241" s="6">
        <v>1865960</v>
      </c>
      <c r="O241" s="6">
        <v>28</v>
      </c>
      <c r="P241" s="7">
        <v>1114.7079200000001</v>
      </c>
      <c r="Q241" s="7">
        <v>4687.6278000000002</v>
      </c>
      <c r="R241" s="9">
        <f>D241*VLOOKUP(1001,적!$A$4:$D$13,3,FALSE)</f>
        <v>45409.283624000003</v>
      </c>
      <c r="S241" s="9">
        <f>D241*VLOOKUP(F241,보스!$A$4:$E$5,4,FALSE)</f>
        <v>1634734.2104640002</v>
      </c>
    </row>
    <row r="242" spans="1:19" ht="21.95" customHeight="1">
      <c r="A242" s="6">
        <v>5239</v>
      </c>
      <c r="B242" s="2" t="s">
        <v>390</v>
      </c>
      <c r="C242" s="6">
        <v>239</v>
      </c>
      <c r="D242" s="7">
        <v>22903.022279519999</v>
      </c>
      <c r="E242" s="2" t="s">
        <v>152</v>
      </c>
      <c r="F242" s="6">
        <v>2001</v>
      </c>
      <c r="G242" s="6">
        <v>5</v>
      </c>
      <c r="H242" s="7">
        <v>30</v>
      </c>
      <c r="I242" s="6">
        <v>5</v>
      </c>
      <c r="J242" s="6">
        <v>2</v>
      </c>
      <c r="K242" s="6">
        <v>1</v>
      </c>
      <c r="L242" s="6">
        <v>15</v>
      </c>
      <c r="M242" s="6">
        <v>93707</v>
      </c>
      <c r="N242" s="6">
        <v>1874140</v>
      </c>
      <c r="O242" s="6">
        <v>28</v>
      </c>
      <c r="P242" s="7">
        <v>1122.33924</v>
      </c>
      <c r="Q242" s="7">
        <v>4719.7160999999996</v>
      </c>
      <c r="R242" s="9">
        <f>D242*VLOOKUP(1001,적!$A$4:$D$13,3,FALSE)</f>
        <v>45806.044559039998</v>
      </c>
      <c r="S242" s="9">
        <f>D242*VLOOKUP(F242,보스!$A$4:$E$5,4,FALSE)</f>
        <v>1649017.6041254399</v>
      </c>
    </row>
    <row r="243" spans="1:19" ht="21.95" customHeight="1">
      <c r="A243" s="6">
        <v>5240</v>
      </c>
      <c r="B243" s="2" t="s">
        <v>391</v>
      </c>
      <c r="C243" s="6">
        <v>240</v>
      </c>
      <c r="D243" s="7">
        <v>23102.574467599999</v>
      </c>
      <c r="E243" s="2" t="s">
        <v>152</v>
      </c>
      <c r="F243" s="6">
        <v>2002</v>
      </c>
      <c r="G243" s="6">
        <v>5</v>
      </c>
      <c r="H243" s="7">
        <v>30</v>
      </c>
      <c r="I243" s="6">
        <v>5</v>
      </c>
      <c r="J243" s="6">
        <v>2</v>
      </c>
      <c r="K243" s="6">
        <v>1</v>
      </c>
      <c r="L243" s="6">
        <v>15</v>
      </c>
      <c r="M243" s="6">
        <v>94117</v>
      </c>
      <c r="N243" s="6">
        <v>1882340</v>
      </c>
      <c r="O243" s="6">
        <v>29</v>
      </c>
      <c r="P243" s="7">
        <v>1129.9952000000001</v>
      </c>
      <c r="Q243" s="7">
        <v>4751.9080000000004</v>
      </c>
      <c r="R243" s="9">
        <f>D243*VLOOKUP(1001,적!$A$4:$D$13,3,FALSE)</f>
        <v>46205.148935199999</v>
      </c>
      <c r="S243" s="9">
        <f>D243*VLOOKUP(F243,보스!$A$4:$E$5,4,FALSE)</f>
        <v>1663385.3616672</v>
      </c>
    </row>
    <row r="244" spans="1:19" ht="21.95" customHeight="1">
      <c r="A244" s="6">
        <v>5241</v>
      </c>
      <c r="B244" s="2" t="s">
        <v>392</v>
      </c>
      <c r="C244" s="6">
        <v>241</v>
      </c>
      <c r="D244" s="7">
        <v>23303.303295999998</v>
      </c>
      <c r="E244" s="2" t="s">
        <v>152</v>
      </c>
      <c r="F244" s="6">
        <v>2001</v>
      </c>
      <c r="G244" s="6">
        <v>5</v>
      </c>
      <c r="H244" s="7">
        <v>30</v>
      </c>
      <c r="I244" s="6">
        <v>5</v>
      </c>
      <c r="J244" s="6">
        <v>2</v>
      </c>
      <c r="K244" s="6">
        <v>1</v>
      </c>
      <c r="L244" s="6">
        <v>15</v>
      </c>
      <c r="M244" s="6">
        <v>94526</v>
      </c>
      <c r="N244" s="6">
        <v>1890520</v>
      </c>
      <c r="O244" s="6">
        <v>29</v>
      </c>
      <c r="P244" s="7">
        <v>1137.6758</v>
      </c>
      <c r="Q244" s="7">
        <v>4784.2034999999996</v>
      </c>
      <c r="R244" s="9">
        <f>D244*VLOOKUP(1001,적!$A$4:$D$13,3,FALSE)</f>
        <v>46606.606591999996</v>
      </c>
      <c r="S244" s="9">
        <f>D244*VLOOKUP(F244,보스!$A$4:$E$5,4,FALSE)</f>
        <v>1677837.8373119999</v>
      </c>
    </row>
    <row r="245" spans="1:19" ht="21.95" customHeight="1">
      <c r="A245" s="6">
        <v>5242</v>
      </c>
      <c r="B245" s="2" t="s">
        <v>393</v>
      </c>
      <c r="C245" s="6">
        <v>242</v>
      </c>
      <c r="D245" s="7">
        <v>23505.21370176</v>
      </c>
      <c r="E245" s="2" t="s">
        <v>152</v>
      </c>
      <c r="F245" s="6">
        <v>2002</v>
      </c>
      <c r="G245" s="6">
        <v>5</v>
      </c>
      <c r="H245" s="7">
        <v>30</v>
      </c>
      <c r="I245" s="6">
        <v>5</v>
      </c>
      <c r="J245" s="6">
        <v>2</v>
      </c>
      <c r="K245" s="6">
        <v>1</v>
      </c>
      <c r="L245" s="6">
        <v>15</v>
      </c>
      <c r="M245" s="6">
        <v>94935</v>
      </c>
      <c r="N245" s="6">
        <v>1898700</v>
      </c>
      <c r="O245" s="6">
        <v>29</v>
      </c>
      <c r="P245" s="7">
        <v>1145.38104</v>
      </c>
      <c r="Q245" s="7">
        <v>4816.6026000000002</v>
      </c>
      <c r="R245" s="9">
        <f>D245*VLOOKUP(1001,적!$A$4:$D$13,3,FALSE)</f>
        <v>47010.42740352</v>
      </c>
      <c r="S245" s="9">
        <f>D245*VLOOKUP(F245,보스!$A$4:$E$5,4,FALSE)</f>
        <v>1692375.3865267199</v>
      </c>
    </row>
    <row r="246" spans="1:19" ht="21.95" customHeight="1">
      <c r="A246" s="6">
        <v>5243</v>
      </c>
      <c r="B246" s="2" t="s">
        <v>394</v>
      </c>
      <c r="C246" s="6">
        <v>243</v>
      </c>
      <c r="D246" s="7">
        <v>23708.310639200001</v>
      </c>
      <c r="E246" s="2" t="s">
        <v>152</v>
      </c>
      <c r="F246" s="6">
        <v>2001</v>
      </c>
      <c r="G246" s="6">
        <v>5</v>
      </c>
      <c r="H246" s="7">
        <v>30</v>
      </c>
      <c r="I246" s="6">
        <v>5</v>
      </c>
      <c r="J246" s="6">
        <v>2</v>
      </c>
      <c r="K246" s="6">
        <v>1</v>
      </c>
      <c r="L246" s="6">
        <v>15</v>
      </c>
      <c r="M246" s="6">
        <v>95344</v>
      </c>
      <c r="N246" s="6">
        <v>1906880</v>
      </c>
      <c r="O246" s="6">
        <v>29</v>
      </c>
      <c r="P246" s="7">
        <v>1153.1109200000001</v>
      </c>
      <c r="Q246" s="7">
        <v>4849.1053000000002</v>
      </c>
      <c r="R246" s="9">
        <f>D246*VLOOKUP(1001,적!$A$4:$D$13,3,FALSE)</f>
        <v>47416.621278400002</v>
      </c>
      <c r="S246" s="9">
        <f>D246*VLOOKUP(F246,보스!$A$4:$E$5,4,FALSE)</f>
        <v>1706998.3660224001</v>
      </c>
    </row>
    <row r="247" spans="1:19" ht="21.95" customHeight="1">
      <c r="A247" s="6">
        <v>5244</v>
      </c>
      <c r="B247" s="2" t="s">
        <v>395</v>
      </c>
      <c r="C247" s="6">
        <v>244</v>
      </c>
      <c r="D247" s="7">
        <v>23912.599079920001</v>
      </c>
      <c r="E247" s="2" t="s">
        <v>152</v>
      </c>
      <c r="F247" s="6">
        <v>2002</v>
      </c>
      <c r="G247" s="6">
        <v>5</v>
      </c>
      <c r="H247" s="7">
        <v>30</v>
      </c>
      <c r="I247" s="6">
        <v>5</v>
      </c>
      <c r="J247" s="6">
        <v>2</v>
      </c>
      <c r="K247" s="6">
        <v>1</v>
      </c>
      <c r="L247" s="6">
        <v>15</v>
      </c>
      <c r="M247" s="6">
        <v>95754</v>
      </c>
      <c r="N247" s="6">
        <v>1915080</v>
      </c>
      <c r="O247" s="6">
        <v>29</v>
      </c>
      <c r="P247" s="7">
        <v>1160.86544</v>
      </c>
      <c r="Q247" s="7">
        <v>4881.7115999999996</v>
      </c>
      <c r="R247" s="9">
        <f>D247*VLOOKUP(1001,적!$A$4:$D$13,3,FALSE)</f>
        <v>47825.198159840002</v>
      </c>
      <c r="S247" s="9">
        <f>D247*VLOOKUP(F247,보스!$A$4:$E$5,4,FALSE)</f>
        <v>1721707.1337542401</v>
      </c>
    </row>
    <row r="248" spans="1:19" ht="21.95" customHeight="1">
      <c r="A248" s="6">
        <v>5245</v>
      </c>
      <c r="B248" s="2" t="s">
        <v>396</v>
      </c>
      <c r="C248" s="6">
        <v>245</v>
      </c>
      <c r="D248" s="7">
        <v>24118.084012800002</v>
      </c>
      <c r="E248" s="2" t="s">
        <v>152</v>
      </c>
      <c r="F248" s="6">
        <v>2001</v>
      </c>
      <c r="G248" s="6">
        <v>5</v>
      </c>
      <c r="H248" s="7">
        <v>30</v>
      </c>
      <c r="I248" s="6">
        <v>5</v>
      </c>
      <c r="J248" s="6">
        <v>2</v>
      </c>
      <c r="K248" s="6">
        <v>1</v>
      </c>
      <c r="L248" s="6">
        <v>15</v>
      </c>
      <c r="M248" s="6">
        <v>96163</v>
      </c>
      <c r="N248" s="6">
        <v>1923260</v>
      </c>
      <c r="O248" s="6">
        <v>29</v>
      </c>
      <c r="P248" s="7">
        <v>1168.6446000000001</v>
      </c>
      <c r="Q248" s="7">
        <v>4914.4215000000004</v>
      </c>
      <c r="R248" s="9">
        <f>D248*VLOOKUP(1001,적!$A$4:$D$13,3,FALSE)</f>
        <v>48236.168025600004</v>
      </c>
      <c r="S248" s="9">
        <f>D248*VLOOKUP(F248,보스!$A$4:$E$5,4,FALSE)</f>
        <v>1736502.0489216002</v>
      </c>
    </row>
    <row r="249" spans="1:19" ht="21.95" customHeight="1">
      <c r="A249" s="6">
        <v>5246</v>
      </c>
      <c r="B249" s="2" t="s">
        <v>397</v>
      </c>
      <c r="C249" s="6">
        <v>246</v>
      </c>
      <c r="D249" s="7">
        <v>24324.770444000002</v>
      </c>
      <c r="E249" s="2" t="s">
        <v>152</v>
      </c>
      <c r="F249" s="6">
        <v>2002</v>
      </c>
      <c r="G249" s="6">
        <v>5</v>
      </c>
      <c r="H249" s="7">
        <v>30</v>
      </c>
      <c r="I249" s="6">
        <v>5</v>
      </c>
      <c r="J249" s="6">
        <v>2</v>
      </c>
      <c r="K249" s="6">
        <v>1</v>
      </c>
      <c r="L249" s="6">
        <v>15</v>
      </c>
      <c r="M249" s="6">
        <v>96572</v>
      </c>
      <c r="N249" s="6">
        <v>1931440</v>
      </c>
      <c r="O249" s="6">
        <v>29</v>
      </c>
      <c r="P249" s="7">
        <v>1176.4484</v>
      </c>
      <c r="Q249" s="7">
        <v>4947.2349999999997</v>
      </c>
      <c r="R249" s="9">
        <f>D249*VLOOKUP(1001,적!$A$4:$D$13,3,FALSE)</f>
        <v>48649.540888000003</v>
      </c>
      <c r="S249" s="9">
        <f>D249*VLOOKUP(F249,보스!$A$4:$E$5,4,FALSE)</f>
        <v>1751383.4719680001</v>
      </c>
    </row>
    <row r="250" spans="1:19" ht="21.95" customHeight="1">
      <c r="A250" s="6">
        <v>5247</v>
      </c>
      <c r="B250" s="2" t="s">
        <v>398</v>
      </c>
      <c r="C250" s="6">
        <v>247</v>
      </c>
      <c r="D250" s="7">
        <v>24532.663396960001</v>
      </c>
      <c r="E250" s="2" t="s">
        <v>152</v>
      </c>
      <c r="F250" s="6">
        <v>2001</v>
      </c>
      <c r="G250" s="6">
        <v>5</v>
      </c>
      <c r="H250" s="7">
        <v>30</v>
      </c>
      <c r="I250" s="6">
        <v>5</v>
      </c>
      <c r="J250" s="6">
        <v>2</v>
      </c>
      <c r="K250" s="6">
        <v>1</v>
      </c>
      <c r="L250" s="6">
        <v>15</v>
      </c>
      <c r="M250" s="6">
        <v>96981</v>
      </c>
      <c r="N250" s="6">
        <v>1939620</v>
      </c>
      <c r="O250" s="6">
        <v>29</v>
      </c>
      <c r="P250" s="7">
        <v>1184.27684</v>
      </c>
      <c r="Q250" s="7">
        <v>4980.1521000000002</v>
      </c>
      <c r="R250" s="9">
        <f>D250*VLOOKUP(1001,적!$A$4:$D$13,3,FALSE)</f>
        <v>49065.326793920001</v>
      </c>
      <c r="S250" s="9">
        <f>D250*VLOOKUP(F250,보스!$A$4:$E$5,4,FALSE)</f>
        <v>1766351.7645811201</v>
      </c>
    </row>
    <row r="251" spans="1:19" ht="21.95" customHeight="1">
      <c r="A251" s="6">
        <v>5248</v>
      </c>
      <c r="B251" s="2" t="s">
        <v>399</v>
      </c>
      <c r="C251" s="6">
        <v>248</v>
      </c>
      <c r="D251" s="7">
        <v>24741.767912399999</v>
      </c>
      <c r="E251" s="2" t="s">
        <v>152</v>
      </c>
      <c r="F251" s="6">
        <v>2002</v>
      </c>
      <c r="G251" s="6">
        <v>5</v>
      </c>
      <c r="H251" s="7">
        <v>30</v>
      </c>
      <c r="I251" s="6">
        <v>5</v>
      </c>
      <c r="J251" s="6">
        <v>2</v>
      </c>
      <c r="K251" s="6">
        <v>1</v>
      </c>
      <c r="L251" s="6">
        <v>15</v>
      </c>
      <c r="M251" s="6">
        <v>97390</v>
      </c>
      <c r="N251" s="6">
        <v>1947800</v>
      </c>
      <c r="O251" s="6">
        <v>29</v>
      </c>
      <c r="P251" s="7">
        <v>1192.1299200000001</v>
      </c>
      <c r="Q251" s="7">
        <v>5013.1728000000003</v>
      </c>
      <c r="R251" s="9">
        <f>D251*VLOOKUP(1001,적!$A$4:$D$13,3,FALSE)</f>
        <v>49483.535824799997</v>
      </c>
      <c r="S251" s="9">
        <f>D251*VLOOKUP(F251,보스!$A$4:$E$5,4,FALSE)</f>
        <v>1781407.2896928</v>
      </c>
    </row>
    <row r="252" spans="1:19" ht="21.95" customHeight="1">
      <c r="A252" s="6">
        <v>5249</v>
      </c>
      <c r="B252" s="2" t="s">
        <v>400</v>
      </c>
      <c r="C252" s="6">
        <v>249</v>
      </c>
      <c r="D252" s="7">
        <v>24952.089048319998</v>
      </c>
      <c r="E252" s="2" t="s">
        <v>152</v>
      </c>
      <c r="F252" s="6">
        <v>2001</v>
      </c>
      <c r="G252" s="6">
        <v>5</v>
      </c>
      <c r="H252" s="7">
        <v>30</v>
      </c>
      <c r="I252" s="6">
        <v>5</v>
      </c>
      <c r="J252" s="6">
        <v>2</v>
      </c>
      <c r="K252" s="6">
        <v>1</v>
      </c>
      <c r="L252" s="6">
        <v>15</v>
      </c>
      <c r="M252" s="6">
        <v>97799</v>
      </c>
      <c r="N252" s="6">
        <v>1955980</v>
      </c>
      <c r="O252" s="6">
        <v>29</v>
      </c>
      <c r="P252" s="7">
        <v>1200.00764</v>
      </c>
      <c r="Q252" s="7">
        <v>5046.2970999999998</v>
      </c>
      <c r="R252" s="9">
        <f>D252*VLOOKUP(1001,적!$A$4:$D$13,3,FALSE)</f>
        <v>49904.178096639997</v>
      </c>
      <c r="S252" s="9">
        <f>D252*VLOOKUP(F252,보스!$A$4:$E$5,4,FALSE)</f>
        <v>1796550.4114790398</v>
      </c>
    </row>
    <row r="253" spans="1:19" ht="21.95" customHeight="1">
      <c r="A253" s="6">
        <v>5250</v>
      </c>
      <c r="B253" s="2" t="s">
        <v>401</v>
      </c>
      <c r="C253" s="6">
        <v>250</v>
      </c>
      <c r="D253" s="7">
        <v>25163.631880000001</v>
      </c>
      <c r="E253" s="2" t="s">
        <v>152</v>
      </c>
      <c r="F253" s="6">
        <v>2002</v>
      </c>
      <c r="G253" s="6">
        <v>5</v>
      </c>
      <c r="H253" s="7">
        <v>30</v>
      </c>
      <c r="I253" s="6">
        <v>5</v>
      </c>
      <c r="J253" s="6">
        <v>2</v>
      </c>
      <c r="K253" s="6">
        <v>1</v>
      </c>
      <c r="L253" s="6">
        <v>15</v>
      </c>
      <c r="M253" s="6">
        <v>98208</v>
      </c>
      <c r="N253" s="6">
        <v>1964160</v>
      </c>
      <c r="O253" s="6">
        <v>30</v>
      </c>
      <c r="P253" s="7">
        <v>1207.9100000000001</v>
      </c>
      <c r="Q253" s="7">
        <v>5079.5249999999996</v>
      </c>
      <c r="R253" s="9">
        <f>D253*VLOOKUP(1001,적!$A$4:$D$13,3,FALSE)</f>
        <v>50327.263760000002</v>
      </c>
      <c r="S253" s="9">
        <f>D253*VLOOKUP(F253,보스!$A$4:$E$5,4,FALSE)</f>
        <v>1811781.4953600001</v>
      </c>
    </row>
    <row r="254" spans="1:19" ht="21.95" customHeight="1">
      <c r="A254" s="6">
        <v>5251</v>
      </c>
      <c r="B254" s="2" t="s">
        <v>402</v>
      </c>
      <c r="C254" s="6">
        <v>251</v>
      </c>
      <c r="D254" s="7">
        <v>25376.4015</v>
      </c>
      <c r="E254" s="2" t="s">
        <v>152</v>
      </c>
      <c r="F254" s="6">
        <v>2001</v>
      </c>
      <c r="G254" s="6">
        <v>5</v>
      </c>
      <c r="H254" s="7">
        <v>30</v>
      </c>
      <c r="I254" s="6">
        <v>5</v>
      </c>
      <c r="J254" s="6">
        <v>2</v>
      </c>
      <c r="K254" s="6">
        <v>1</v>
      </c>
      <c r="L254" s="6">
        <v>15</v>
      </c>
      <c r="M254" s="6">
        <v>98617</v>
      </c>
      <c r="N254" s="6">
        <v>1972340</v>
      </c>
      <c r="O254" s="6">
        <v>30</v>
      </c>
      <c r="P254" s="7">
        <v>1215.837</v>
      </c>
      <c r="Q254" s="7">
        <v>5112.8564999999999</v>
      </c>
      <c r="R254" s="9">
        <f>D254*VLOOKUP(1001,적!$A$4:$D$13,3,FALSE)</f>
        <v>50752.803</v>
      </c>
      <c r="S254" s="9">
        <f>D254*VLOOKUP(F254,보스!$A$4:$E$5,4,FALSE)</f>
        <v>1827100.9080000001</v>
      </c>
    </row>
    <row r="255" spans="1:19" ht="21.95" customHeight="1">
      <c r="A255" s="6">
        <v>5252</v>
      </c>
      <c r="B255" s="2" t="s">
        <v>403</v>
      </c>
      <c r="C255" s="6">
        <v>252</v>
      </c>
      <c r="D255" s="7">
        <v>25590.403018159999</v>
      </c>
      <c r="E255" s="2" t="s">
        <v>152</v>
      </c>
      <c r="F255" s="6">
        <v>2002</v>
      </c>
      <c r="G255" s="6">
        <v>5</v>
      </c>
      <c r="H255" s="7">
        <v>30</v>
      </c>
      <c r="I255" s="6">
        <v>5</v>
      </c>
      <c r="J255" s="6">
        <v>2</v>
      </c>
      <c r="K255" s="6">
        <v>1</v>
      </c>
      <c r="L255" s="6">
        <v>15</v>
      </c>
      <c r="M255" s="6">
        <v>99026</v>
      </c>
      <c r="N255" s="6">
        <v>1980520</v>
      </c>
      <c r="O255" s="6">
        <v>30</v>
      </c>
      <c r="P255" s="7">
        <v>1223.78864</v>
      </c>
      <c r="Q255" s="7">
        <v>5146.2915999999996</v>
      </c>
      <c r="R255" s="9">
        <f>D255*VLOOKUP(1001,적!$A$4:$D$13,3,FALSE)</f>
        <v>51180.806036319998</v>
      </c>
      <c r="S255" s="9">
        <f>D255*VLOOKUP(F255,보스!$A$4:$E$5,4,FALSE)</f>
        <v>1842509.0173075199</v>
      </c>
    </row>
    <row r="256" spans="1:19" ht="21.95" customHeight="1">
      <c r="A256" s="6">
        <v>5253</v>
      </c>
      <c r="B256" s="2" t="s">
        <v>404</v>
      </c>
      <c r="C256" s="6">
        <v>253</v>
      </c>
      <c r="D256" s="7">
        <v>25805.641561600001</v>
      </c>
      <c r="E256" s="2" t="s">
        <v>152</v>
      </c>
      <c r="F256" s="6">
        <v>2001</v>
      </c>
      <c r="G256" s="6">
        <v>5</v>
      </c>
      <c r="H256" s="7">
        <v>30</v>
      </c>
      <c r="I256" s="6">
        <v>5</v>
      </c>
      <c r="J256" s="6">
        <v>2</v>
      </c>
      <c r="K256" s="6">
        <v>1</v>
      </c>
      <c r="L256" s="6">
        <v>15</v>
      </c>
      <c r="M256" s="6">
        <v>99435</v>
      </c>
      <c r="N256" s="6">
        <v>1988700</v>
      </c>
      <c r="O256" s="6">
        <v>30</v>
      </c>
      <c r="P256" s="7">
        <v>1231.7649200000001</v>
      </c>
      <c r="Q256" s="7">
        <v>5179.8302999999996</v>
      </c>
      <c r="R256" s="9">
        <f>D256*VLOOKUP(1001,적!$A$4:$D$13,3,FALSE)</f>
        <v>51611.283123200003</v>
      </c>
      <c r="S256" s="9">
        <f>D256*VLOOKUP(F256,보스!$A$4:$E$5,4,FALSE)</f>
        <v>1858006.1924352001</v>
      </c>
    </row>
    <row r="257" spans="1:19" ht="21.95" customHeight="1">
      <c r="A257" s="6">
        <v>5254</v>
      </c>
      <c r="B257" s="2" t="s">
        <v>405</v>
      </c>
      <c r="C257" s="6">
        <v>254</v>
      </c>
      <c r="D257" s="7">
        <v>26022.122274720001</v>
      </c>
      <c r="E257" s="2" t="s">
        <v>152</v>
      </c>
      <c r="F257" s="6">
        <v>2002</v>
      </c>
      <c r="G257" s="6">
        <v>5</v>
      </c>
      <c r="H257" s="7">
        <v>30</v>
      </c>
      <c r="I257" s="6">
        <v>5</v>
      </c>
      <c r="J257" s="6">
        <v>2</v>
      </c>
      <c r="K257" s="6">
        <v>1</v>
      </c>
      <c r="L257" s="6">
        <v>15</v>
      </c>
      <c r="M257" s="6">
        <v>99844</v>
      </c>
      <c r="N257" s="6">
        <v>1996880</v>
      </c>
      <c r="O257" s="6">
        <v>30</v>
      </c>
      <c r="P257" s="7">
        <v>1239.76584</v>
      </c>
      <c r="Q257" s="7">
        <v>5213.4726000000001</v>
      </c>
      <c r="R257" s="9">
        <f>D257*VLOOKUP(1001,적!$A$4:$D$13,3,FALSE)</f>
        <v>52044.244549440002</v>
      </c>
      <c r="S257" s="9">
        <f>D257*VLOOKUP(F257,보스!$A$4:$E$5,4,FALSE)</f>
        <v>1873592.80377984</v>
      </c>
    </row>
    <row r="258" spans="1:19" ht="21.95" customHeight="1">
      <c r="A258" s="6">
        <v>5255</v>
      </c>
      <c r="B258" s="2" t="s">
        <v>406</v>
      </c>
      <c r="C258" s="6">
        <v>255</v>
      </c>
      <c r="D258" s="7">
        <v>26239.850319199999</v>
      </c>
      <c r="E258" s="2" t="s">
        <v>152</v>
      </c>
      <c r="F258" s="6">
        <v>2001</v>
      </c>
      <c r="G258" s="6">
        <v>5</v>
      </c>
      <c r="H258" s="7">
        <v>30</v>
      </c>
      <c r="I258" s="6">
        <v>5</v>
      </c>
      <c r="J258" s="6">
        <v>2</v>
      </c>
      <c r="K258" s="6">
        <v>1</v>
      </c>
      <c r="L258" s="6">
        <v>15</v>
      </c>
      <c r="M258" s="6">
        <v>100253</v>
      </c>
      <c r="N258" s="6">
        <v>2005060</v>
      </c>
      <c r="O258" s="6">
        <v>30</v>
      </c>
      <c r="P258" s="7">
        <v>1247.7914000000001</v>
      </c>
      <c r="Q258" s="7">
        <v>5247.2184999999999</v>
      </c>
      <c r="R258" s="9">
        <f>D258*VLOOKUP(1001,적!$A$4:$D$13,3,FALSE)</f>
        <v>52479.700638399998</v>
      </c>
      <c r="S258" s="9">
        <f>D258*VLOOKUP(F258,보스!$A$4:$E$5,4,FALSE)</f>
        <v>1889269.2229823999</v>
      </c>
    </row>
    <row r="259" spans="1:19" ht="21.95" customHeight="1">
      <c r="A259" s="6">
        <v>5256</v>
      </c>
      <c r="B259" s="2" t="s">
        <v>407</v>
      </c>
      <c r="C259" s="6">
        <v>256</v>
      </c>
      <c r="D259" s="7">
        <v>26458.830873999999</v>
      </c>
      <c r="E259" s="2" t="s">
        <v>152</v>
      </c>
      <c r="F259" s="6">
        <v>2002</v>
      </c>
      <c r="G259" s="6">
        <v>5</v>
      </c>
      <c r="H259" s="7">
        <v>30</v>
      </c>
      <c r="I259" s="6">
        <v>5</v>
      </c>
      <c r="J259" s="6">
        <v>2</v>
      </c>
      <c r="K259" s="6">
        <v>1</v>
      </c>
      <c r="L259" s="6">
        <v>15</v>
      </c>
      <c r="M259" s="6">
        <v>100662</v>
      </c>
      <c r="N259" s="6">
        <v>2013240</v>
      </c>
      <c r="O259" s="6">
        <v>30</v>
      </c>
      <c r="P259" s="7">
        <v>1255.8416</v>
      </c>
      <c r="Q259" s="7">
        <v>5281.0680000000002</v>
      </c>
      <c r="R259" s="9">
        <f>D259*VLOOKUP(1001,적!$A$4:$D$13,3,FALSE)</f>
        <v>52917.661747999999</v>
      </c>
      <c r="S259" s="9">
        <f>D259*VLOOKUP(F259,보스!$A$4:$E$5,4,FALSE)</f>
        <v>1905035.822928</v>
      </c>
    </row>
    <row r="260" spans="1:19" ht="21.95" customHeight="1">
      <c r="A260" s="6">
        <v>5257</v>
      </c>
      <c r="B260" s="2" t="s">
        <v>408</v>
      </c>
      <c r="C260" s="6">
        <v>257</v>
      </c>
      <c r="D260" s="7">
        <v>26679.069135360001</v>
      </c>
      <c r="E260" s="2" t="s">
        <v>152</v>
      </c>
      <c r="F260" s="6">
        <v>2001</v>
      </c>
      <c r="G260" s="6">
        <v>5</v>
      </c>
      <c r="H260" s="7">
        <v>30</v>
      </c>
      <c r="I260" s="6">
        <v>5</v>
      </c>
      <c r="J260" s="6">
        <v>2</v>
      </c>
      <c r="K260" s="6">
        <v>1</v>
      </c>
      <c r="L260" s="6">
        <v>15</v>
      </c>
      <c r="M260" s="6">
        <v>101071</v>
      </c>
      <c r="N260" s="6">
        <v>2021420</v>
      </c>
      <c r="O260" s="6">
        <v>30</v>
      </c>
      <c r="P260" s="7">
        <v>1263.91644</v>
      </c>
      <c r="Q260" s="7">
        <v>5315.0210999999999</v>
      </c>
      <c r="R260" s="9">
        <f>D260*VLOOKUP(1001,적!$A$4:$D$13,3,FALSE)</f>
        <v>53358.138270720003</v>
      </c>
      <c r="S260" s="9">
        <f>D260*VLOOKUP(F260,보스!$A$4:$E$5,4,FALSE)</f>
        <v>1920892.9777459202</v>
      </c>
    </row>
    <row r="261" spans="1:19" ht="21.95" customHeight="1">
      <c r="A261" s="6">
        <v>5258</v>
      </c>
      <c r="B261" s="2" t="s">
        <v>409</v>
      </c>
      <c r="C261" s="6">
        <v>258</v>
      </c>
      <c r="D261" s="7">
        <v>26900.5703168</v>
      </c>
      <c r="E261" s="2" t="s">
        <v>152</v>
      </c>
      <c r="F261" s="6">
        <v>2002</v>
      </c>
      <c r="G261" s="6">
        <v>5</v>
      </c>
      <c r="H261" s="7">
        <v>30</v>
      </c>
      <c r="I261" s="6">
        <v>5</v>
      </c>
      <c r="J261" s="6">
        <v>2</v>
      </c>
      <c r="K261" s="6">
        <v>1</v>
      </c>
      <c r="L261" s="6">
        <v>15</v>
      </c>
      <c r="M261" s="6">
        <v>101480</v>
      </c>
      <c r="N261" s="6">
        <v>2029600</v>
      </c>
      <c r="O261" s="6">
        <v>30</v>
      </c>
      <c r="P261" s="7">
        <v>1272.0159200000001</v>
      </c>
      <c r="Q261" s="7">
        <v>5349.0778</v>
      </c>
      <c r="R261" s="9">
        <f>D261*VLOOKUP(1001,적!$A$4:$D$13,3,FALSE)</f>
        <v>53801.1406336</v>
      </c>
      <c r="S261" s="9">
        <f>D261*VLOOKUP(F261,보스!$A$4:$E$5,4,FALSE)</f>
        <v>1936841.0628096</v>
      </c>
    </row>
    <row r="262" spans="1:19" ht="21.95" customHeight="1">
      <c r="A262" s="6">
        <v>5259</v>
      </c>
      <c r="B262" s="2" t="s">
        <v>410</v>
      </c>
      <c r="C262" s="6">
        <v>259</v>
      </c>
      <c r="D262" s="7">
        <v>27123.33964912</v>
      </c>
      <c r="E262" s="2" t="s">
        <v>152</v>
      </c>
      <c r="F262" s="6">
        <v>2001</v>
      </c>
      <c r="G262" s="6">
        <v>5</v>
      </c>
      <c r="H262" s="7">
        <v>30</v>
      </c>
      <c r="I262" s="6">
        <v>5</v>
      </c>
      <c r="J262" s="6">
        <v>2</v>
      </c>
      <c r="K262" s="6">
        <v>1</v>
      </c>
      <c r="L262" s="6">
        <v>15</v>
      </c>
      <c r="M262" s="6">
        <v>101889</v>
      </c>
      <c r="N262" s="6">
        <v>2037780</v>
      </c>
      <c r="O262" s="6">
        <v>30</v>
      </c>
      <c r="P262" s="7">
        <v>1280.14004</v>
      </c>
      <c r="Q262" s="7">
        <v>5383.2380999999996</v>
      </c>
      <c r="R262" s="9">
        <f>D262*VLOOKUP(1001,적!$A$4:$D$13,3,FALSE)</f>
        <v>54246.67929824</v>
      </c>
      <c r="S262" s="9">
        <f>D262*VLOOKUP(F262,보스!$A$4:$E$5,4,FALSE)</f>
        <v>1952880.45473664</v>
      </c>
    </row>
    <row r="263" spans="1:19" ht="21.95" customHeight="1">
      <c r="A263" s="6">
        <v>5260</v>
      </c>
      <c r="B263" s="2" t="s">
        <v>411</v>
      </c>
      <c r="C263" s="6">
        <v>260</v>
      </c>
      <c r="D263" s="7">
        <v>27347.382380399999</v>
      </c>
      <c r="E263" s="2" t="s">
        <v>152</v>
      </c>
      <c r="F263" s="6">
        <v>2002</v>
      </c>
      <c r="G263" s="6">
        <v>5</v>
      </c>
      <c r="H263" s="7">
        <v>30</v>
      </c>
      <c r="I263" s="6">
        <v>5</v>
      </c>
      <c r="J263" s="6">
        <v>2</v>
      </c>
      <c r="K263" s="6">
        <v>1</v>
      </c>
      <c r="L263" s="6">
        <v>15</v>
      </c>
      <c r="M263" s="6">
        <v>102297</v>
      </c>
      <c r="N263" s="6">
        <v>2045940</v>
      </c>
      <c r="O263" s="6">
        <v>31</v>
      </c>
      <c r="P263" s="7">
        <v>1288.2888</v>
      </c>
      <c r="Q263" s="7">
        <v>5417.5020000000004</v>
      </c>
      <c r="R263" s="9">
        <f>D263*VLOOKUP(1001,적!$A$4:$D$13,3,FALSE)</f>
        <v>54694.764760799997</v>
      </c>
      <c r="S263" s="9">
        <f>D263*VLOOKUP(F263,보스!$A$4:$E$5,4,FALSE)</f>
        <v>1969011.5313887999</v>
      </c>
    </row>
    <row r="264" spans="1:19" ht="21.95" customHeight="1">
      <c r="A264" s="6">
        <v>5261</v>
      </c>
      <c r="B264" s="2" t="s">
        <v>412</v>
      </c>
      <c r="C264" s="6">
        <v>261</v>
      </c>
      <c r="D264" s="7">
        <v>27572.703775999998</v>
      </c>
      <c r="E264" s="2" t="s">
        <v>152</v>
      </c>
      <c r="F264" s="6">
        <v>2001</v>
      </c>
      <c r="G264" s="6">
        <v>5</v>
      </c>
      <c r="H264" s="7">
        <v>30</v>
      </c>
      <c r="I264" s="6">
        <v>5</v>
      </c>
      <c r="J264" s="6">
        <v>2</v>
      </c>
      <c r="K264" s="6">
        <v>1</v>
      </c>
      <c r="L264" s="6">
        <v>15</v>
      </c>
      <c r="M264" s="6">
        <v>102706</v>
      </c>
      <c r="N264" s="6">
        <v>2054120</v>
      </c>
      <c r="O264" s="6">
        <v>31</v>
      </c>
      <c r="P264" s="7">
        <v>1296.4621999999999</v>
      </c>
      <c r="Q264" s="7">
        <v>5451.8694999999998</v>
      </c>
      <c r="R264" s="9">
        <f>D264*VLOOKUP(1001,적!$A$4:$D$13,3,FALSE)</f>
        <v>55145.407551999997</v>
      </c>
      <c r="S264" s="9">
        <f>D264*VLOOKUP(F264,보스!$A$4:$E$5,4,FALSE)</f>
        <v>1985234.671872</v>
      </c>
    </row>
    <row r="265" spans="1:19" ht="21.95" customHeight="1">
      <c r="A265" s="6">
        <v>5262</v>
      </c>
      <c r="B265" s="2" t="s">
        <v>413</v>
      </c>
      <c r="C265" s="6">
        <v>262</v>
      </c>
      <c r="D265" s="7">
        <v>27799.309118559999</v>
      </c>
      <c r="E265" s="2" t="s">
        <v>152</v>
      </c>
      <c r="F265" s="6">
        <v>2002</v>
      </c>
      <c r="G265" s="6">
        <v>5</v>
      </c>
      <c r="H265" s="7">
        <v>30</v>
      </c>
      <c r="I265" s="6">
        <v>5</v>
      </c>
      <c r="J265" s="6">
        <v>2</v>
      </c>
      <c r="K265" s="6">
        <v>1</v>
      </c>
      <c r="L265" s="6">
        <v>15</v>
      </c>
      <c r="M265" s="6">
        <v>103115</v>
      </c>
      <c r="N265" s="6">
        <v>2062300</v>
      </c>
      <c r="O265" s="6">
        <v>31</v>
      </c>
      <c r="P265" s="7">
        <v>1304.6602399999999</v>
      </c>
      <c r="Q265" s="7">
        <v>5486.3406000000004</v>
      </c>
      <c r="R265" s="9">
        <f>D265*VLOOKUP(1001,적!$A$4:$D$13,3,FALSE)</f>
        <v>55598.618237119998</v>
      </c>
      <c r="S265" s="9">
        <f>D265*VLOOKUP(F265,보스!$A$4:$E$5,4,FALSE)</f>
        <v>2001550.2565363199</v>
      </c>
    </row>
    <row r="266" spans="1:19" ht="21.95" customHeight="1">
      <c r="A266" s="6">
        <v>5263</v>
      </c>
      <c r="B266" s="2" t="s">
        <v>414</v>
      </c>
      <c r="C266" s="6">
        <v>263</v>
      </c>
      <c r="D266" s="7">
        <v>28027.203708000001</v>
      </c>
      <c r="E266" s="2" t="s">
        <v>152</v>
      </c>
      <c r="F266" s="6">
        <v>2001</v>
      </c>
      <c r="G266" s="6">
        <v>5</v>
      </c>
      <c r="H266" s="7">
        <v>30</v>
      </c>
      <c r="I266" s="6">
        <v>5</v>
      </c>
      <c r="J266" s="6">
        <v>2</v>
      </c>
      <c r="K266" s="6">
        <v>1</v>
      </c>
      <c r="L266" s="6">
        <v>15</v>
      </c>
      <c r="M266" s="6">
        <v>103524</v>
      </c>
      <c r="N266" s="6">
        <v>2070480</v>
      </c>
      <c r="O266" s="6">
        <v>31</v>
      </c>
      <c r="P266" s="7">
        <v>1312.88292</v>
      </c>
      <c r="Q266" s="7">
        <v>5520.9152999999997</v>
      </c>
      <c r="R266" s="9">
        <f>D266*VLOOKUP(1001,적!$A$4:$D$13,3,FALSE)</f>
        <v>56054.407416000002</v>
      </c>
      <c r="S266" s="9">
        <f>D266*VLOOKUP(F266,보스!$A$4:$E$5,4,FALSE)</f>
        <v>2017958.6669760002</v>
      </c>
    </row>
    <row r="267" spans="1:19" ht="21.95" customHeight="1">
      <c r="A267" s="6">
        <v>5264</v>
      </c>
      <c r="B267" s="2" t="s">
        <v>415</v>
      </c>
      <c r="C267" s="6">
        <v>264</v>
      </c>
      <c r="D267" s="7">
        <v>28256.392861519998</v>
      </c>
      <c r="E267" s="2" t="s">
        <v>152</v>
      </c>
      <c r="F267" s="6">
        <v>2002</v>
      </c>
      <c r="G267" s="6">
        <v>5</v>
      </c>
      <c r="H267" s="7">
        <v>30</v>
      </c>
      <c r="I267" s="6">
        <v>5</v>
      </c>
      <c r="J267" s="6">
        <v>2</v>
      </c>
      <c r="K267" s="6">
        <v>1</v>
      </c>
      <c r="L267" s="6">
        <v>15</v>
      </c>
      <c r="M267" s="6">
        <v>103932</v>
      </c>
      <c r="N267" s="6">
        <v>2078640</v>
      </c>
      <c r="O267" s="6">
        <v>31</v>
      </c>
      <c r="P267" s="7">
        <v>1321.13024</v>
      </c>
      <c r="Q267" s="7">
        <v>5555.5936000000002</v>
      </c>
      <c r="R267" s="9">
        <f>D267*VLOOKUP(1001,적!$A$4:$D$13,3,FALSE)</f>
        <v>56512.785723039997</v>
      </c>
      <c r="S267" s="9">
        <f>D267*VLOOKUP(F267,보스!$A$4:$E$5,4,FALSE)</f>
        <v>2034460.2860294399</v>
      </c>
    </row>
    <row r="268" spans="1:19" ht="21.95" customHeight="1">
      <c r="A268" s="6">
        <v>5265</v>
      </c>
      <c r="B268" s="2" t="s">
        <v>416</v>
      </c>
      <c r="C268" s="6">
        <v>265</v>
      </c>
      <c r="D268" s="7">
        <v>28486.881913599998</v>
      </c>
      <c r="E268" s="2" t="s">
        <v>152</v>
      </c>
      <c r="F268" s="6">
        <v>2001</v>
      </c>
      <c r="G268" s="6">
        <v>5</v>
      </c>
      <c r="H268" s="7">
        <v>30</v>
      </c>
      <c r="I268" s="6">
        <v>5</v>
      </c>
      <c r="J268" s="6">
        <v>2</v>
      </c>
      <c r="K268" s="6">
        <v>1</v>
      </c>
      <c r="L268" s="6">
        <v>15</v>
      </c>
      <c r="M268" s="6">
        <v>104341</v>
      </c>
      <c r="N268" s="6">
        <v>2086820</v>
      </c>
      <c r="O268" s="6">
        <v>31</v>
      </c>
      <c r="P268" s="7">
        <v>1329.4022</v>
      </c>
      <c r="Q268" s="7">
        <v>5590.3755000000001</v>
      </c>
      <c r="R268" s="9">
        <f>D268*VLOOKUP(1001,적!$A$4:$D$13,3,FALSE)</f>
        <v>56973.763827199997</v>
      </c>
      <c r="S268" s="9">
        <f>D268*VLOOKUP(F268,보스!$A$4:$E$5,4,FALSE)</f>
        <v>2051055.4977791999</v>
      </c>
    </row>
    <row r="269" spans="1:19" ht="21.95" customHeight="1">
      <c r="A269" s="6">
        <v>5266</v>
      </c>
      <c r="B269" s="2" t="s">
        <v>417</v>
      </c>
      <c r="C269" s="6">
        <v>266</v>
      </c>
      <c r="D269" s="7">
        <v>28718.676216</v>
      </c>
      <c r="E269" s="2" t="s">
        <v>152</v>
      </c>
      <c r="F269" s="6">
        <v>2002</v>
      </c>
      <c r="G269" s="6">
        <v>5</v>
      </c>
      <c r="H269" s="7">
        <v>30</v>
      </c>
      <c r="I269" s="6">
        <v>5</v>
      </c>
      <c r="J269" s="6">
        <v>2</v>
      </c>
      <c r="K269" s="6">
        <v>1</v>
      </c>
      <c r="L269" s="6">
        <v>15</v>
      </c>
      <c r="M269" s="6">
        <v>104750</v>
      </c>
      <c r="N269" s="6">
        <v>2095000</v>
      </c>
      <c r="O269" s="6">
        <v>31</v>
      </c>
      <c r="P269" s="7">
        <v>1337.6987999999999</v>
      </c>
      <c r="Q269" s="7">
        <v>5625.2610000000004</v>
      </c>
      <c r="R269" s="9">
        <f>D269*VLOOKUP(1001,적!$A$4:$D$13,3,FALSE)</f>
        <v>57437.352432</v>
      </c>
      <c r="S269" s="9">
        <f>D269*VLOOKUP(F269,보스!$A$4:$E$5,4,FALSE)</f>
        <v>2067744.6875519999</v>
      </c>
    </row>
    <row r="270" spans="1:19" ht="21.95" customHeight="1">
      <c r="A270" s="6">
        <v>5267</v>
      </c>
      <c r="B270" s="2" t="s">
        <v>418</v>
      </c>
      <c r="C270" s="6">
        <v>267</v>
      </c>
      <c r="D270" s="7">
        <v>28951.781137760001</v>
      </c>
      <c r="E270" s="2" t="s">
        <v>152</v>
      </c>
      <c r="F270" s="6">
        <v>2001</v>
      </c>
      <c r="G270" s="6">
        <v>5</v>
      </c>
      <c r="H270" s="7">
        <v>30</v>
      </c>
      <c r="I270" s="6">
        <v>5</v>
      </c>
      <c r="J270" s="6">
        <v>2</v>
      </c>
      <c r="K270" s="6">
        <v>1</v>
      </c>
      <c r="L270" s="6">
        <v>15</v>
      </c>
      <c r="M270" s="6">
        <v>105158</v>
      </c>
      <c r="N270" s="6">
        <v>2103160</v>
      </c>
      <c r="O270" s="6">
        <v>31</v>
      </c>
      <c r="P270" s="7">
        <v>1346.0200400000001</v>
      </c>
      <c r="Q270" s="7">
        <v>5660.2501000000002</v>
      </c>
      <c r="R270" s="9">
        <f>D270*VLOOKUP(1001,적!$A$4:$D$13,3,FALSE)</f>
        <v>57903.562275520002</v>
      </c>
      <c r="S270" s="9">
        <f>D270*VLOOKUP(F270,보스!$A$4:$E$5,4,FALSE)</f>
        <v>2084528.2419187201</v>
      </c>
    </row>
    <row r="271" spans="1:19" ht="21.95" customHeight="1">
      <c r="A271" s="6">
        <v>5268</v>
      </c>
      <c r="B271" s="2" t="s">
        <v>419</v>
      </c>
      <c r="C271" s="6">
        <v>268</v>
      </c>
      <c r="D271" s="7">
        <v>29186.202065199999</v>
      </c>
      <c r="E271" s="2" t="s">
        <v>152</v>
      </c>
      <c r="F271" s="6">
        <v>2002</v>
      </c>
      <c r="G271" s="6">
        <v>5</v>
      </c>
      <c r="H271" s="7">
        <v>30</v>
      </c>
      <c r="I271" s="6">
        <v>5</v>
      </c>
      <c r="J271" s="6">
        <v>2</v>
      </c>
      <c r="K271" s="6">
        <v>1</v>
      </c>
      <c r="L271" s="6">
        <v>15</v>
      </c>
      <c r="M271" s="6">
        <v>105567</v>
      </c>
      <c r="N271" s="6">
        <v>2111340</v>
      </c>
      <c r="O271" s="6">
        <v>31</v>
      </c>
      <c r="P271" s="7">
        <v>1354.36592</v>
      </c>
      <c r="Q271" s="7">
        <v>5695.3428000000004</v>
      </c>
      <c r="R271" s="9">
        <f>D271*VLOOKUP(1001,적!$A$4:$D$13,3,FALSE)</f>
        <v>58372.404130399998</v>
      </c>
      <c r="S271" s="9">
        <f>D271*VLOOKUP(F271,보스!$A$4:$E$5,4,FALSE)</f>
        <v>2101406.5486944001</v>
      </c>
    </row>
    <row r="272" spans="1:19" ht="21.95" customHeight="1">
      <c r="A272" s="6">
        <v>5269</v>
      </c>
      <c r="B272" s="2" t="s">
        <v>420</v>
      </c>
      <c r="C272" s="6">
        <v>269</v>
      </c>
      <c r="D272" s="7">
        <v>29421.944401919998</v>
      </c>
      <c r="E272" s="2" t="s">
        <v>152</v>
      </c>
      <c r="F272" s="6">
        <v>2001</v>
      </c>
      <c r="G272" s="6">
        <v>5</v>
      </c>
      <c r="H272" s="7">
        <v>30</v>
      </c>
      <c r="I272" s="6">
        <v>5</v>
      </c>
      <c r="J272" s="6">
        <v>2</v>
      </c>
      <c r="K272" s="6">
        <v>1</v>
      </c>
      <c r="L272" s="6">
        <v>15</v>
      </c>
      <c r="M272" s="6">
        <v>105975</v>
      </c>
      <c r="N272" s="6">
        <v>2119500</v>
      </c>
      <c r="O272" s="6">
        <v>31</v>
      </c>
      <c r="P272" s="7">
        <v>1362.7364399999999</v>
      </c>
      <c r="Q272" s="7">
        <v>5730.5391</v>
      </c>
      <c r="R272" s="9">
        <f>D272*VLOOKUP(1001,적!$A$4:$D$13,3,FALSE)</f>
        <v>58843.888803839996</v>
      </c>
      <c r="S272" s="9">
        <f>D272*VLOOKUP(F272,보스!$A$4:$E$5,4,FALSE)</f>
        <v>2118379.9969382398</v>
      </c>
    </row>
    <row r="273" spans="1:19" ht="21.95" customHeight="1">
      <c r="A273" s="6">
        <v>5270</v>
      </c>
      <c r="B273" s="2" t="s">
        <v>421</v>
      </c>
      <c r="C273" s="6">
        <v>270</v>
      </c>
      <c r="D273" s="7">
        <v>29659.013568800001</v>
      </c>
      <c r="E273" s="2" t="s">
        <v>152</v>
      </c>
      <c r="F273" s="6">
        <v>2002</v>
      </c>
      <c r="G273" s="6">
        <v>5</v>
      </c>
      <c r="H273" s="7">
        <v>30</v>
      </c>
      <c r="I273" s="6">
        <v>5</v>
      </c>
      <c r="J273" s="6">
        <v>2</v>
      </c>
      <c r="K273" s="6">
        <v>1</v>
      </c>
      <c r="L273" s="6">
        <v>15</v>
      </c>
      <c r="M273" s="6">
        <v>106384</v>
      </c>
      <c r="N273" s="6">
        <v>2127680</v>
      </c>
      <c r="O273" s="6">
        <v>32</v>
      </c>
      <c r="P273" s="7">
        <v>1371.1315999999999</v>
      </c>
      <c r="Q273" s="7">
        <v>5765.8389999999999</v>
      </c>
      <c r="R273" s="9">
        <f>D273*VLOOKUP(1001,적!$A$4:$D$13,3,FALSE)</f>
        <v>59318.027137600002</v>
      </c>
      <c r="S273" s="9">
        <f>D273*VLOOKUP(F273,보스!$A$4:$E$5,4,FALSE)</f>
        <v>2135448.9769536001</v>
      </c>
    </row>
    <row r="274" spans="1:19" ht="21.95" customHeight="1">
      <c r="A274" s="6">
        <v>5271</v>
      </c>
      <c r="B274" s="2" t="s">
        <v>422</v>
      </c>
      <c r="C274" s="6">
        <v>271</v>
      </c>
      <c r="D274" s="7">
        <v>29897.415003999999</v>
      </c>
      <c r="E274" s="2" t="s">
        <v>152</v>
      </c>
      <c r="F274" s="6">
        <v>2001</v>
      </c>
      <c r="G274" s="6">
        <v>5</v>
      </c>
      <c r="H274" s="7">
        <v>30</v>
      </c>
      <c r="I274" s="6">
        <v>5</v>
      </c>
      <c r="J274" s="6">
        <v>2</v>
      </c>
      <c r="K274" s="6">
        <v>1</v>
      </c>
      <c r="L274" s="6">
        <v>15</v>
      </c>
      <c r="M274" s="6">
        <v>106793</v>
      </c>
      <c r="N274" s="6">
        <v>2135860</v>
      </c>
      <c r="O274" s="6">
        <v>32</v>
      </c>
      <c r="P274" s="7">
        <v>1379.5514000000001</v>
      </c>
      <c r="Q274" s="7">
        <v>5801.2425000000003</v>
      </c>
      <c r="R274" s="9">
        <f>D274*VLOOKUP(1001,적!$A$4:$D$13,3,FALSE)</f>
        <v>59794.830007999997</v>
      </c>
      <c r="S274" s="9">
        <f>D274*VLOOKUP(F274,보스!$A$4:$E$5,4,FALSE)</f>
        <v>2152613.8802879998</v>
      </c>
    </row>
    <row r="275" spans="1:19" ht="21.95" customHeight="1">
      <c r="A275" s="6">
        <v>5272</v>
      </c>
      <c r="B275" s="2" t="s">
        <v>423</v>
      </c>
      <c r="C275" s="6">
        <v>272</v>
      </c>
      <c r="D275" s="7">
        <v>30137.15416296</v>
      </c>
      <c r="E275" s="2" t="s">
        <v>152</v>
      </c>
      <c r="F275" s="6">
        <v>2002</v>
      </c>
      <c r="G275" s="6">
        <v>5</v>
      </c>
      <c r="H275" s="7">
        <v>30</v>
      </c>
      <c r="I275" s="6">
        <v>5</v>
      </c>
      <c r="J275" s="6">
        <v>2</v>
      </c>
      <c r="K275" s="6">
        <v>1</v>
      </c>
      <c r="L275" s="6">
        <v>15</v>
      </c>
      <c r="M275" s="6">
        <v>107201</v>
      </c>
      <c r="N275" s="6">
        <v>2144020</v>
      </c>
      <c r="O275" s="6">
        <v>32</v>
      </c>
      <c r="P275" s="7">
        <v>1387.99584</v>
      </c>
      <c r="Q275" s="7">
        <v>5836.7496000000001</v>
      </c>
      <c r="R275" s="9">
        <f>D275*VLOOKUP(1001,적!$A$4:$D$13,3,FALSE)</f>
        <v>60274.308325919999</v>
      </c>
      <c r="S275" s="9">
        <f>D275*VLOOKUP(F275,보스!$A$4:$E$5,4,FALSE)</f>
        <v>2169875.0997331198</v>
      </c>
    </row>
    <row r="276" spans="1:19" ht="21.95" customHeight="1">
      <c r="A276" s="6">
        <v>5273</v>
      </c>
      <c r="B276" s="2" t="s">
        <v>424</v>
      </c>
      <c r="C276" s="6">
        <v>273</v>
      </c>
      <c r="D276" s="7">
        <v>30378.236518400001</v>
      </c>
      <c r="E276" s="2" t="s">
        <v>152</v>
      </c>
      <c r="F276" s="6">
        <v>2001</v>
      </c>
      <c r="G276" s="6">
        <v>5</v>
      </c>
      <c r="H276" s="7">
        <v>30</v>
      </c>
      <c r="I276" s="6">
        <v>5</v>
      </c>
      <c r="J276" s="6">
        <v>2</v>
      </c>
      <c r="K276" s="6">
        <v>1</v>
      </c>
      <c r="L276" s="6">
        <v>15</v>
      </c>
      <c r="M276" s="6">
        <v>107610</v>
      </c>
      <c r="N276" s="6">
        <v>2152200</v>
      </c>
      <c r="O276" s="6">
        <v>32</v>
      </c>
      <c r="P276" s="7">
        <v>1396.4649199999999</v>
      </c>
      <c r="Q276" s="7">
        <v>5872.3603000000003</v>
      </c>
      <c r="R276" s="9">
        <f>D276*VLOOKUP(1001,적!$A$4:$D$13,3,FALSE)</f>
        <v>60756.473036800002</v>
      </c>
      <c r="S276" s="9">
        <f>D276*VLOOKUP(F276,보스!$A$4:$E$5,4,FALSE)</f>
        <v>2187233.0293248002</v>
      </c>
    </row>
    <row r="277" spans="1:19" ht="21.95" customHeight="1">
      <c r="A277" s="6">
        <v>5274</v>
      </c>
      <c r="B277" s="2" t="s">
        <v>425</v>
      </c>
      <c r="C277" s="6">
        <v>274</v>
      </c>
      <c r="D277" s="7">
        <v>30620.667560319998</v>
      </c>
      <c r="E277" s="2" t="s">
        <v>152</v>
      </c>
      <c r="F277" s="6">
        <v>2002</v>
      </c>
      <c r="G277" s="6">
        <v>5</v>
      </c>
      <c r="H277" s="7">
        <v>30</v>
      </c>
      <c r="I277" s="6">
        <v>5</v>
      </c>
      <c r="J277" s="6">
        <v>2</v>
      </c>
      <c r="K277" s="6">
        <v>1</v>
      </c>
      <c r="L277" s="6">
        <v>15</v>
      </c>
      <c r="M277" s="6">
        <v>108018</v>
      </c>
      <c r="N277" s="6">
        <v>2160360</v>
      </c>
      <c r="O277" s="6">
        <v>32</v>
      </c>
      <c r="P277" s="7">
        <v>1404.9586400000001</v>
      </c>
      <c r="Q277" s="7">
        <v>5908.0745999999999</v>
      </c>
      <c r="R277" s="9">
        <f>D277*VLOOKUP(1001,적!$A$4:$D$13,3,FALSE)</f>
        <v>61241.335120639997</v>
      </c>
      <c r="S277" s="9">
        <f>D277*VLOOKUP(F277,보스!$A$4:$E$5,4,FALSE)</f>
        <v>2204688.0643430399</v>
      </c>
    </row>
    <row r="278" spans="1:19" ht="21.95" customHeight="1">
      <c r="A278" s="6">
        <v>5275</v>
      </c>
      <c r="B278" s="2" t="s">
        <v>426</v>
      </c>
      <c r="C278" s="6">
        <v>275</v>
      </c>
      <c r="D278" s="7">
        <v>30864.452796000001</v>
      </c>
      <c r="E278" s="2" t="s">
        <v>152</v>
      </c>
      <c r="F278" s="6">
        <v>2001</v>
      </c>
      <c r="G278" s="6">
        <v>5</v>
      </c>
      <c r="H278" s="7">
        <v>30</v>
      </c>
      <c r="I278" s="6">
        <v>5</v>
      </c>
      <c r="J278" s="6">
        <v>2</v>
      </c>
      <c r="K278" s="6">
        <v>1</v>
      </c>
      <c r="L278" s="6">
        <v>15</v>
      </c>
      <c r="M278" s="6">
        <v>108427</v>
      </c>
      <c r="N278" s="6">
        <v>2168540</v>
      </c>
      <c r="O278" s="6">
        <v>32</v>
      </c>
      <c r="P278" s="7">
        <v>1413.4770000000001</v>
      </c>
      <c r="Q278" s="7">
        <v>5943.8924999999999</v>
      </c>
      <c r="R278" s="9">
        <f>D278*VLOOKUP(1001,적!$A$4:$D$13,3,FALSE)</f>
        <v>61728.905592000003</v>
      </c>
      <c r="S278" s="9">
        <f>D278*VLOOKUP(F278,보스!$A$4:$E$5,4,FALSE)</f>
        <v>2222240.6013120003</v>
      </c>
    </row>
    <row r="279" spans="1:19" ht="21.95" customHeight="1">
      <c r="A279" s="6">
        <v>5276</v>
      </c>
      <c r="B279" s="2" t="s">
        <v>427</v>
      </c>
      <c r="C279" s="6">
        <v>276</v>
      </c>
      <c r="D279" s="7">
        <v>31109.597750000001</v>
      </c>
      <c r="E279" s="2" t="s">
        <v>152</v>
      </c>
      <c r="F279" s="6">
        <v>2002</v>
      </c>
      <c r="G279" s="6">
        <v>5</v>
      </c>
      <c r="H279" s="7">
        <v>30</v>
      </c>
      <c r="I279" s="6">
        <v>5</v>
      </c>
      <c r="J279" s="6">
        <v>2</v>
      </c>
      <c r="K279" s="6">
        <v>1</v>
      </c>
      <c r="L279" s="6">
        <v>15</v>
      </c>
      <c r="M279" s="6">
        <v>108835</v>
      </c>
      <c r="N279" s="6">
        <v>2176700</v>
      </c>
      <c r="O279" s="6">
        <v>32</v>
      </c>
      <c r="P279" s="7">
        <v>1422.02</v>
      </c>
      <c r="Q279" s="7">
        <v>5979.8140000000003</v>
      </c>
      <c r="R279" s="9">
        <f>D279*VLOOKUP(1001,적!$A$4:$D$13,3,FALSE)</f>
        <v>62219.195500000002</v>
      </c>
      <c r="S279" s="9">
        <f>D279*VLOOKUP(F279,보스!$A$4:$E$5,4,FALSE)</f>
        <v>2239891.0380000002</v>
      </c>
    </row>
    <row r="280" spans="1:19" ht="21.95" customHeight="1">
      <c r="A280" s="6">
        <v>5277</v>
      </c>
      <c r="B280" s="2" t="s">
        <v>428</v>
      </c>
      <c r="C280" s="6">
        <v>277</v>
      </c>
      <c r="D280" s="7">
        <v>31356.107964160001</v>
      </c>
      <c r="E280" s="2" t="s">
        <v>152</v>
      </c>
      <c r="F280" s="6">
        <v>2001</v>
      </c>
      <c r="G280" s="6">
        <v>5</v>
      </c>
      <c r="H280" s="7">
        <v>30</v>
      </c>
      <c r="I280" s="6">
        <v>5</v>
      </c>
      <c r="J280" s="6">
        <v>2</v>
      </c>
      <c r="K280" s="6">
        <v>1</v>
      </c>
      <c r="L280" s="6">
        <v>15</v>
      </c>
      <c r="M280" s="6">
        <v>109243</v>
      </c>
      <c r="N280" s="6">
        <v>2184860</v>
      </c>
      <c r="O280" s="6">
        <v>32</v>
      </c>
      <c r="P280" s="7">
        <v>1430.58764</v>
      </c>
      <c r="Q280" s="7">
        <v>6015.8391000000001</v>
      </c>
      <c r="R280" s="9">
        <f>D280*VLOOKUP(1001,적!$A$4:$D$13,3,FALSE)</f>
        <v>62712.215928320002</v>
      </c>
      <c r="S280" s="9">
        <f>D280*VLOOKUP(F280,보스!$A$4:$E$5,4,FALSE)</f>
        <v>2257639.7734195199</v>
      </c>
    </row>
    <row r="281" spans="1:19" ht="21.95" customHeight="1">
      <c r="A281" s="6">
        <v>5278</v>
      </c>
      <c r="B281" s="2" t="s">
        <v>429</v>
      </c>
      <c r="C281" s="6">
        <v>278</v>
      </c>
      <c r="D281" s="7">
        <v>31603.988997600001</v>
      </c>
      <c r="E281" s="2" t="s">
        <v>152</v>
      </c>
      <c r="F281" s="6">
        <v>2002</v>
      </c>
      <c r="G281" s="6">
        <v>5</v>
      </c>
      <c r="H281" s="7">
        <v>30</v>
      </c>
      <c r="I281" s="6">
        <v>5</v>
      </c>
      <c r="J281" s="6">
        <v>2</v>
      </c>
      <c r="K281" s="6">
        <v>1</v>
      </c>
      <c r="L281" s="6">
        <v>15</v>
      </c>
      <c r="M281" s="6">
        <v>109652</v>
      </c>
      <c r="N281" s="6">
        <v>2193040</v>
      </c>
      <c r="O281" s="6">
        <v>32</v>
      </c>
      <c r="P281" s="7">
        <v>1439.17992</v>
      </c>
      <c r="Q281" s="7">
        <v>6051.9678000000004</v>
      </c>
      <c r="R281" s="9">
        <f>D281*VLOOKUP(1001,적!$A$4:$D$13,3,FALSE)</f>
        <v>63207.977995200003</v>
      </c>
      <c r="S281" s="9">
        <f>D281*VLOOKUP(F281,보스!$A$4:$E$5,4,FALSE)</f>
        <v>2275487.2078272002</v>
      </c>
    </row>
    <row r="282" spans="1:19" ht="21.95" customHeight="1">
      <c r="A282" s="6">
        <v>5279</v>
      </c>
      <c r="B282" s="2" t="s">
        <v>430</v>
      </c>
      <c r="C282" s="6">
        <v>279</v>
      </c>
      <c r="D282" s="7">
        <v>31853.246426720001</v>
      </c>
      <c r="E282" s="2" t="s">
        <v>152</v>
      </c>
      <c r="F282" s="6">
        <v>2001</v>
      </c>
      <c r="G282" s="6">
        <v>5</v>
      </c>
      <c r="H282" s="7">
        <v>30</v>
      </c>
      <c r="I282" s="6">
        <v>5</v>
      </c>
      <c r="J282" s="6">
        <v>2</v>
      </c>
      <c r="K282" s="6">
        <v>1</v>
      </c>
      <c r="L282" s="6">
        <v>15</v>
      </c>
      <c r="M282" s="6">
        <v>110060</v>
      </c>
      <c r="N282" s="6">
        <v>2201200</v>
      </c>
      <c r="O282" s="6">
        <v>32</v>
      </c>
      <c r="P282" s="7">
        <v>1447.79684</v>
      </c>
      <c r="Q282" s="7">
        <v>6088.2001</v>
      </c>
      <c r="R282" s="9">
        <f>D282*VLOOKUP(1001,적!$A$4:$D$13,3,FALSE)</f>
        <v>63706.492853440002</v>
      </c>
      <c r="S282" s="9">
        <f>D282*VLOOKUP(F282,보스!$A$4:$E$5,4,FALSE)</f>
        <v>2293433.7427238403</v>
      </c>
    </row>
    <row r="283" spans="1:19" ht="21.95" customHeight="1">
      <c r="A283" s="6">
        <v>5280</v>
      </c>
      <c r="B283" s="2" t="s">
        <v>431</v>
      </c>
      <c r="C283" s="6">
        <v>280</v>
      </c>
      <c r="D283" s="7">
        <v>32103.885845199999</v>
      </c>
      <c r="E283" s="2" t="s">
        <v>152</v>
      </c>
      <c r="F283" s="6">
        <v>2002</v>
      </c>
      <c r="G283" s="6">
        <v>5</v>
      </c>
      <c r="H283" s="7">
        <v>30</v>
      </c>
      <c r="I283" s="6">
        <v>5</v>
      </c>
      <c r="J283" s="6">
        <v>2</v>
      </c>
      <c r="K283" s="6">
        <v>1</v>
      </c>
      <c r="L283" s="6">
        <v>15</v>
      </c>
      <c r="M283" s="6">
        <v>110469</v>
      </c>
      <c r="N283" s="6">
        <v>2209380</v>
      </c>
      <c r="O283" s="6">
        <v>33</v>
      </c>
      <c r="P283" s="7">
        <v>1456.4384</v>
      </c>
      <c r="Q283" s="7">
        <v>6124.5360000000001</v>
      </c>
      <c r="R283" s="9">
        <f>D283*VLOOKUP(1001,적!$A$4:$D$13,3,FALSE)</f>
        <v>64207.771690399997</v>
      </c>
      <c r="S283" s="9">
        <f>D283*VLOOKUP(F283,보스!$A$4:$E$5,4,FALSE)</f>
        <v>2311479.7808543998</v>
      </c>
    </row>
    <row r="284" spans="1:19" ht="21.95" customHeight="1">
      <c r="A284" s="6">
        <v>5281</v>
      </c>
      <c r="B284" s="2" t="s">
        <v>432</v>
      </c>
      <c r="C284" s="6">
        <v>281</v>
      </c>
      <c r="D284" s="7">
        <v>32355.912864000002</v>
      </c>
      <c r="E284" s="2" t="s">
        <v>152</v>
      </c>
      <c r="F284" s="6">
        <v>2001</v>
      </c>
      <c r="G284" s="6">
        <v>5</v>
      </c>
      <c r="H284" s="7">
        <v>30</v>
      </c>
      <c r="I284" s="6">
        <v>5</v>
      </c>
      <c r="J284" s="6">
        <v>2</v>
      </c>
      <c r="K284" s="6">
        <v>1</v>
      </c>
      <c r="L284" s="6">
        <v>15</v>
      </c>
      <c r="M284" s="6">
        <v>110877</v>
      </c>
      <c r="N284" s="6">
        <v>2217540</v>
      </c>
      <c r="O284" s="6">
        <v>33</v>
      </c>
      <c r="P284" s="7">
        <v>1465.1045999999999</v>
      </c>
      <c r="Q284" s="7">
        <v>6160.9754999999996</v>
      </c>
      <c r="R284" s="9">
        <f>D284*VLOOKUP(1001,적!$A$4:$D$13,3,FALSE)</f>
        <v>64711.825728000003</v>
      </c>
      <c r="S284" s="9">
        <f>D284*VLOOKUP(F284,보스!$A$4:$E$5,4,FALSE)</f>
        <v>2329625.726208</v>
      </c>
    </row>
    <row r="285" spans="1:19" ht="21.95" customHeight="1">
      <c r="A285" s="6">
        <v>5282</v>
      </c>
      <c r="B285" s="2" t="s">
        <v>433</v>
      </c>
      <c r="C285" s="6">
        <v>282</v>
      </c>
      <c r="D285" s="7">
        <v>32609.33311136</v>
      </c>
      <c r="E285" s="2" t="s">
        <v>152</v>
      </c>
      <c r="F285" s="6">
        <v>2002</v>
      </c>
      <c r="G285" s="6">
        <v>5</v>
      </c>
      <c r="H285" s="7">
        <v>30</v>
      </c>
      <c r="I285" s="6">
        <v>5</v>
      </c>
      <c r="J285" s="6">
        <v>2</v>
      </c>
      <c r="K285" s="6">
        <v>1</v>
      </c>
      <c r="L285" s="6">
        <v>15</v>
      </c>
      <c r="M285" s="6">
        <v>111285</v>
      </c>
      <c r="N285" s="6">
        <v>2225700</v>
      </c>
      <c r="O285" s="6">
        <v>33</v>
      </c>
      <c r="P285" s="7">
        <v>1473.7954400000001</v>
      </c>
      <c r="Q285" s="7">
        <v>6197.5186000000003</v>
      </c>
      <c r="R285" s="9">
        <f>D285*VLOOKUP(1001,적!$A$4:$D$13,3,FALSE)</f>
        <v>65218.666222719999</v>
      </c>
      <c r="S285" s="9">
        <f>D285*VLOOKUP(F285,보스!$A$4:$E$5,4,FALSE)</f>
        <v>2347871.9840179197</v>
      </c>
    </row>
    <row r="286" spans="1:19" ht="21.95" customHeight="1">
      <c r="A286" s="6">
        <v>5283</v>
      </c>
      <c r="B286" s="2" t="s">
        <v>434</v>
      </c>
      <c r="C286" s="6">
        <v>283</v>
      </c>
      <c r="D286" s="7">
        <v>32864.152232799999</v>
      </c>
      <c r="E286" s="2" t="s">
        <v>152</v>
      </c>
      <c r="F286" s="6">
        <v>2001</v>
      </c>
      <c r="G286" s="6">
        <v>5</v>
      </c>
      <c r="H286" s="7">
        <v>30</v>
      </c>
      <c r="I286" s="6">
        <v>5</v>
      </c>
      <c r="J286" s="6">
        <v>2</v>
      </c>
      <c r="K286" s="6">
        <v>1</v>
      </c>
      <c r="L286" s="6">
        <v>15</v>
      </c>
      <c r="M286" s="6">
        <v>111694</v>
      </c>
      <c r="N286" s="6">
        <v>2233880</v>
      </c>
      <c r="O286" s="6">
        <v>33</v>
      </c>
      <c r="P286" s="7">
        <v>1482.5109199999999</v>
      </c>
      <c r="Q286" s="7">
        <v>6234.1652999999997</v>
      </c>
      <c r="R286" s="9">
        <f>D286*VLOOKUP(1001,적!$A$4:$D$13,3,FALSE)</f>
        <v>65728.304465599998</v>
      </c>
      <c r="S286" s="9">
        <f>D286*VLOOKUP(F286,보스!$A$4:$E$5,4,FALSE)</f>
        <v>2366218.9607616002</v>
      </c>
    </row>
    <row r="287" spans="1:19" ht="21.95" customHeight="1">
      <c r="A287" s="6">
        <v>5284</v>
      </c>
      <c r="B287" s="2" t="s">
        <v>435</v>
      </c>
      <c r="C287" s="6">
        <v>284</v>
      </c>
      <c r="D287" s="7">
        <v>33120.375891119998</v>
      </c>
      <c r="E287" s="2" t="s">
        <v>152</v>
      </c>
      <c r="F287" s="6">
        <v>2002</v>
      </c>
      <c r="G287" s="6">
        <v>5</v>
      </c>
      <c r="H287" s="7">
        <v>30</v>
      </c>
      <c r="I287" s="6">
        <v>5</v>
      </c>
      <c r="J287" s="6">
        <v>2</v>
      </c>
      <c r="K287" s="6">
        <v>1</v>
      </c>
      <c r="L287" s="6">
        <v>15</v>
      </c>
      <c r="M287" s="6">
        <v>112102</v>
      </c>
      <c r="N287" s="6">
        <v>2242040</v>
      </c>
      <c r="O287" s="6">
        <v>33</v>
      </c>
      <c r="P287" s="7">
        <v>1491.2510400000001</v>
      </c>
      <c r="Q287" s="7">
        <v>6270.9156000000003</v>
      </c>
      <c r="R287" s="9">
        <f>D287*VLOOKUP(1001,적!$A$4:$D$13,3,FALSE)</f>
        <v>66240.751782239997</v>
      </c>
      <c r="S287" s="9">
        <f>D287*VLOOKUP(F287,보스!$A$4:$E$5,4,FALSE)</f>
        <v>2384667.0641606399</v>
      </c>
    </row>
    <row r="288" spans="1:19" ht="21.95" customHeight="1">
      <c r="A288" s="6">
        <v>5285</v>
      </c>
      <c r="B288" s="2" t="s">
        <v>436</v>
      </c>
      <c r="C288" s="6">
        <v>285</v>
      </c>
      <c r="D288" s="7">
        <v>33378.009766399999</v>
      </c>
      <c r="E288" s="2" t="s">
        <v>152</v>
      </c>
      <c r="F288" s="6">
        <v>2001</v>
      </c>
      <c r="G288" s="6">
        <v>5</v>
      </c>
      <c r="H288" s="7">
        <v>30</v>
      </c>
      <c r="I288" s="6">
        <v>5</v>
      </c>
      <c r="J288" s="6">
        <v>2</v>
      </c>
      <c r="K288" s="6">
        <v>1</v>
      </c>
      <c r="L288" s="6">
        <v>15</v>
      </c>
      <c r="M288" s="6">
        <v>112510</v>
      </c>
      <c r="N288" s="6">
        <v>2250200</v>
      </c>
      <c r="O288" s="6">
        <v>33</v>
      </c>
      <c r="P288" s="7">
        <v>1500.0157999999999</v>
      </c>
      <c r="Q288" s="7">
        <v>6307.7695000000003</v>
      </c>
      <c r="R288" s="9">
        <f>D288*VLOOKUP(1001,적!$A$4:$D$13,3,FALSE)</f>
        <v>66756.019532799997</v>
      </c>
      <c r="S288" s="9">
        <f>D288*VLOOKUP(F288,보스!$A$4:$E$5,4,FALSE)</f>
        <v>2403216.7031807997</v>
      </c>
    </row>
    <row r="289" spans="1:19" ht="21.95" customHeight="1">
      <c r="A289" s="6">
        <v>5286</v>
      </c>
      <c r="B289" s="2" t="s">
        <v>437</v>
      </c>
      <c r="C289" s="6">
        <v>286</v>
      </c>
      <c r="D289" s="7">
        <v>33637.059556</v>
      </c>
      <c r="E289" s="2" t="s">
        <v>152</v>
      </c>
      <c r="F289" s="6">
        <v>2002</v>
      </c>
      <c r="G289" s="6">
        <v>5</v>
      </c>
      <c r="H289" s="7">
        <v>30</v>
      </c>
      <c r="I289" s="6">
        <v>5</v>
      </c>
      <c r="J289" s="6">
        <v>2</v>
      </c>
      <c r="K289" s="6">
        <v>1</v>
      </c>
      <c r="L289" s="6">
        <v>15</v>
      </c>
      <c r="M289" s="6">
        <v>112918</v>
      </c>
      <c r="N289" s="6">
        <v>2258360</v>
      </c>
      <c r="O289" s="6">
        <v>33</v>
      </c>
      <c r="P289" s="7">
        <v>1508.8052</v>
      </c>
      <c r="Q289" s="7">
        <v>6344.7269999999999</v>
      </c>
      <c r="R289" s="9">
        <f>D289*VLOOKUP(1001,적!$A$4:$D$13,3,FALSE)</f>
        <v>67274.119112</v>
      </c>
      <c r="S289" s="9">
        <f>D289*VLOOKUP(F289,보스!$A$4:$E$5,4,FALSE)</f>
        <v>2421868.288032</v>
      </c>
    </row>
    <row r="290" spans="1:19" ht="21.95" customHeight="1">
      <c r="A290" s="6">
        <v>5287</v>
      </c>
      <c r="B290" s="2" t="s">
        <v>438</v>
      </c>
      <c r="C290" s="6">
        <v>287</v>
      </c>
      <c r="D290" s="7">
        <v>33897.530974560003</v>
      </c>
      <c r="E290" s="2" t="s">
        <v>152</v>
      </c>
      <c r="F290" s="6">
        <v>2001</v>
      </c>
      <c r="G290" s="6">
        <v>5</v>
      </c>
      <c r="H290" s="7">
        <v>30</v>
      </c>
      <c r="I290" s="6">
        <v>5</v>
      </c>
      <c r="J290" s="6">
        <v>2</v>
      </c>
      <c r="K290" s="6">
        <v>1</v>
      </c>
      <c r="L290" s="6">
        <v>15</v>
      </c>
      <c r="M290" s="6">
        <v>113327</v>
      </c>
      <c r="N290" s="6">
        <v>2266540</v>
      </c>
      <c r="O290" s="6">
        <v>33</v>
      </c>
      <c r="P290" s="7">
        <v>1517.61924</v>
      </c>
      <c r="Q290" s="7">
        <v>6381.7880999999998</v>
      </c>
      <c r="R290" s="9">
        <f>D290*VLOOKUP(1001,적!$A$4:$D$13,3,FALSE)</f>
        <v>67795.061949120005</v>
      </c>
      <c r="S290" s="9">
        <f>D290*VLOOKUP(F290,보스!$A$4:$E$5,4,FALSE)</f>
        <v>2440622.2301683202</v>
      </c>
    </row>
    <row r="291" spans="1:19" ht="21.95" customHeight="1">
      <c r="A291" s="6">
        <v>5288</v>
      </c>
      <c r="B291" s="2" t="s">
        <v>439</v>
      </c>
      <c r="C291" s="6">
        <v>288</v>
      </c>
      <c r="D291" s="7">
        <v>34159.429753999997</v>
      </c>
      <c r="E291" s="2" t="s">
        <v>152</v>
      </c>
      <c r="F291" s="6">
        <v>2002</v>
      </c>
      <c r="G291" s="6">
        <v>5</v>
      </c>
      <c r="H291" s="7">
        <v>30</v>
      </c>
      <c r="I291" s="6">
        <v>5</v>
      </c>
      <c r="J291" s="6">
        <v>2</v>
      </c>
      <c r="K291" s="6">
        <v>1</v>
      </c>
      <c r="L291" s="6">
        <v>15</v>
      </c>
      <c r="M291" s="6">
        <v>113735</v>
      </c>
      <c r="N291" s="6">
        <v>2274700</v>
      </c>
      <c r="O291" s="6">
        <v>33</v>
      </c>
      <c r="P291" s="7">
        <v>1526.4579200000001</v>
      </c>
      <c r="Q291" s="7">
        <v>6418.9528</v>
      </c>
      <c r="R291" s="9">
        <f>D291*VLOOKUP(1001,적!$A$4:$D$13,3,FALSE)</f>
        <v>68318.859507999994</v>
      </c>
      <c r="S291" s="9">
        <f>D291*VLOOKUP(F291,보스!$A$4:$E$5,4,FALSE)</f>
        <v>2459478.9422879997</v>
      </c>
    </row>
    <row r="292" spans="1:19" ht="21.95" customHeight="1">
      <c r="A292" s="6">
        <v>5289</v>
      </c>
      <c r="B292" s="2" t="s">
        <v>440</v>
      </c>
      <c r="C292" s="6">
        <v>289</v>
      </c>
      <c r="D292" s="7">
        <v>34422.761643520003</v>
      </c>
      <c r="E292" s="2" t="s">
        <v>152</v>
      </c>
      <c r="F292" s="6">
        <v>2001</v>
      </c>
      <c r="G292" s="6">
        <v>5</v>
      </c>
      <c r="H292" s="7">
        <v>30</v>
      </c>
      <c r="I292" s="6">
        <v>5</v>
      </c>
      <c r="J292" s="6">
        <v>2</v>
      </c>
      <c r="K292" s="6">
        <v>1</v>
      </c>
      <c r="L292" s="6">
        <v>15</v>
      </c>
      <c r="M292" s="6">
        <v>114143</v>
      </c>
      <c r="N292" s="6">
        <v>2282860</v>
      </c>
      <c r="O292" s="6">
        <v>33</v>
      </c>
      <c r="P292" s="7">
        <v>1535.32124</v>
      </c>
      <c r="Q292" s="7">
        <v>6456.2210999999998</v>
      </c>
      <c r="R292" s="9">
        <f>D292*VLOOKUP(1001,적!$A$4:$D$13,3,FALSE)</f>
        <v>68845.523287040007</v>
      </c>
      <c r="S292" s="9">
        <f>D292*VLOOKUP(F292,보스!$A$4:$E$5,4,FALSE)</f>
        <v>2478438.83833344</v>
      </c>
    </row>
    <row r="293" spans="1:19" ht="21.95" customHeight="1">
      <c r="A293" s="6">
        <v>5290</v>
      </c>
      <c r="B293" s="2" t="s">
        <v>441</v>
      </c>
      <c r="C293" s="6">
        <v>290</v>
      </c>
      <c r="D293" s="7">
        <v>34687.532409599997</v>
      </c>
      <c r="E293" s="2" t="s">
        <v>152</v>
      </c>
      <c r="F293" s="6">
        <v>2002</v>
      </c>
      <c r="G293" s="6">
        <v>5</v>
      </c>
      <c r="H293" s="7">
        <v>30</v>
      </c>
      <c r="I293" s="6">
        <v>5</v>
      </c>
      <c r="J293" s="6">
        <v>2</v>
      </c>
      <c r="K293" s="6">
        <v>1</v>
      </c>
      <c r="L293" s="6">
        <v>15</v>
      </c>
      <c r="M293" s="6">
        <v>114551</v>
      </c>
      <c r="N293" s="6">
        <v>2291020</v>
      </c>
      <c r="O293" s="6">
        <v>34</v>
      </c>
      <c r="P293" s="7">
        <v>1544.2092</v>
      </c>
      <c r="Q293" s="7">
        <v>6493.5929999999998</v>
      </c>
      <c r="R293" s="9">
        <f>D293*VLOOKUP(1001,적!$A$4:$D$13,3,FALSE)</f>
        <v>69375.064819199994</v>
      </c>
      <c r="S293" s="9">
        <f>D293*VLOOKUP(F293,보스!$A$4:$E$5,4,FALSE)</f>
        <v>2497502.3334911996</v>
      </c>
    </row>
    <row r="294" spans="1:19" ht="21.95" customHeight="1">
      <c r="A294" s="6">
        <v>5291</v>
      </c>
      <c r="B294" s="2" t="s">
        <v>442</v>
      </c>
      <c r="C294" s="6">
        <v>291</v>
      </c>
      <c r="D294" s="7">
        <v>34953.747836000002</v>
      </c>
      <c r="E294" s="2" t="s">
        <v>152</v>
      </c>
      <c r="F294" s="6">
        <v>2001</v>
      </c>
      <c r="G294" s="6">
        <v>5</v>
      </c>
      <c r="H294" s="7">
        <v>30</v>
      </c>
      <c r="I294" s="6">
        <v>5</v>
      </c>
      <c r="J294" s="6">
        <v>2</v>
      </c>
      <c r="K294" s="6">
        <v>1</v>
      </c>
      <c r="L294" s="6">
        <v>15</v>
      </c>
      <c r="M294" s="6">
        <v>114959</v>
      </c>
      <c r="N294" s="6">
        <v>2299180</v>
      </c>
      <c r="O294" s="6">
        <v>34</v>
      </c>
      <c r="P294" s="7">
        <v>1553.1217999999999</v>
      </c>
      <c r="Q294" s="7">
        <v>6531.0685000000003</v>
      </c>
      <c r="R294" s="9">
        <f>D294*VLOOKUP(1001,적!$A$4:$D$13,3,FALSE)</f>
        <v>69907.495672000005</v>
      </c>
      <c r="S294" s="9">
        <f>D294*VLOOKUP(F294,보스!$A$4:$E$5,4,FALSE)</f>
        <v>2516669.8441920001</v>
      </c>
    </row>
    <row r="295" spans="1:19" ht="21.95" customHeight="1">
      <c r="A295" s="6">
        <v>5292</v>
      </c>
      <c r="B295" s="2" t="s">
        <v>443</v>
      </c>
      <c r="C295" s="6">
        <v>292</v>
      </c>
      <c r="D295" s="7">
        <v>35221.413723760001</v>
      </c>
      <c r="E295" s="2" t="s">
        <v>152</v>
      </c>
      <c r="F295" s="6">
        <v>2002</v>
      </c>
      <c r="G295" s="6">
        <v>5</v>
      </c>
      <c r="H295" s="7">
        <v>30</v>
      </c>
      <c r="I295" s="6">
        <v>5</v>
      </c>
      <c r="J295" s="6">
        <v>2</v>
      </c>
      <c r="K295" s="6">
        <v>1</v>
      </c>
      <c r="L295" s="6">
        <v>15</v>
      </c>
      <c r="M295" s="6">
        <v>115368</v>
      </c>
      <c r="N295" s="6">
        <v>2307360</v>
      </c>
      <c r="O295" s="6">
        <v>34</v>
      </c>
      <c r="P295" s="7">
        <v>1562.0590400000001</v>
      </c>
      <c r="Q295" s="7">
        <v>6568.6476000000002</v>
      </c>
      <c r="R295" s="9">
        <f>D295*VLOOKUP(1001,적!$A$4:$D$13,3,FALSE)</f>
        <v>70442.827447520001</v>
      </c>
      <c r="S295" s="9">
        <f>D295*VLOOKUP(F295,보스!$A$4:$E$5,4,FALSE)</f>
        <v>2535941.78811072</v>
      </c>
    </row>
    <row r="296" spans="1:19" ht="21.95" customHeight="1">
      <c r="A296" s="6">
        <v>5293</v>
      </c>
      <c r="B296" s="2" t="s">
        <v>444</v>
      </c>
      <c r="C296" s="6">
        <v>293</v>
      </c>
      <c r="D296" s="7">
        <v>35490.535891200001</v>
      </c>
      <c r="E296" s="2" t="s">
        <v>152</v>
      </c>
      <c r="F296" s="6">
        <v>2001</v>
      </c>
      <c r="G296" s="6">
        <v>5</v>
      </c>
      <c r="H296" s="7">
        <v>30</v>
      </c>
      <c r="I296" s="6">
        <v>5</v>
      </c>
      <c r="J296" s="6">
        <v>2</v>
      </c>
      <c r="K296" s="6">
        <v>1</v>
      </c>
      <c r="L296" s="6">
        <v>15</v>
      </c>
      <c r="M296" s="6">
        <v>115776</v>
      </c>
      <c r="N296" s="6">
        <v>2315520</v>
      </c>
      <c r="O296" s="6">
        <v>34</v>
      </c>
      <c r="P296" s="7">
        <v>1571.0209199999999</v>
      </c>
      <c r="Q296" s="7">
        <v>6606.3302999999996</v>
      </c>
      <c r="R296" s="9">
        <f>D296*VLOOKUP(1001,적!$A$4:$D$13,3,FALSE)</f>
        <v>70981.071782400002</v>
      </c>
      <c r="S296" s="9">
        <f>D296*VLOOKUP(F296,보스!$A$4:$E$5,4,FALSE)</f>
        <v>2555318.5841664001</v>
      </c>
    </row>
    <row r="297" spans="1:19" ht="21.95" customHeight="1">
      <c r="A297" s="6">
        <v>5294</v>
      </c>
      <c r="B297" s="2" t="s">
        <v>445</v>
      </c>
      <c r="C297" s="6">
        <v>294</v>
      </c>
      <c r="D297" s="7">
        <v>35761.120173919997</v>
      </c>
      <c r="E297" s="2" t="s">
        <v>152</v>
      </c>
      <c r="F297" s="6">
        <v>2002</v>
      </c>
      <c r="G297" s="6">
        <v>5</v>
      </c>
      <c r="H297" s="7">
        <v>30</v>
      </c>
      <c r="I297" s="6">
        <v>5</v>
      </c>
      <c r="J297" s="6">
        <v>2</v>
      </c>
      <c r="K297" s="6">
        <v>1</v>
      </c>
      <c r="L297" s="6">
        <v>15</v>
      </c>
      <c r="M297" s="6">
        <v>116184</v>
      </c>
      <c r="N297" s="6">
        <v>2323680</v>
      </c>
      <c r="O297" s="6">
        <v>34</v>
      </c>
      <c r="P297" s="7">
        <v>1580.0074400000001</v>
      </c>
      <c r="Q297" s="7">
        <v>6644.1166000000003</v>
      </c>
      <c r="R297" s="9">
        <f>D297*VLOOKUP(1001,적!$A$4:$D$13,3,FALSE)</f>
        <v>71522.240347839994</v>
      </c>
      <c r="S297" s="9">
        <f>D297*VLOOKUP(F297,보스!$A$4:$E$5,4,FALSE)</f>
        <v>2574800.6525222398</v>
      </c>
    </row>
    <row r="298" spans="1:19" ht="21.95" customHeight="1">
      <c r="A298" s="6">
        <v>5295</v>
      </c>
      <c r="B298" s="2" t="s">
        <v>446</v>
      </c>
      <c r="C298" s="6">
        <v>295</v>
      </c>
      <c r="D298" s="7">
        <v>36033.172424800003</v>
      </c>
      <c r="E298" s="2" t="s">
        <v>152</v>
      </c>
      <c r="F298" s="6">
        <v>2001</v>
      </c>
      <c r="G298" s="6">
        <v>5</v>
      </c>
      <c r="H298" s="7">
        <v>30</v>
      </c>
      <c r="I298" s="6">
        <v>5</v>
      </c>
      <c r="J298" s="6">
        <v>2</v>
      </c>
      <c r="K298" s="6">
        <v>1</v>
      </c>
      <c r="L298" s="6">
        <v>15</v>
      </c>
      <c r="M298" s="6">
        <v>116592</v>
      </c>
      <c r="N298" s="6">
        <v>2331840</v>
      </c>
      <c r="O298" s="6">
        <v>34</v>
      </c>
      <c r="P298" s="7">
        <v>1589.0186000000001</v>
      </c>
      <c r="Q298" s="7">
        <v>6682.0065000000004</v>
      </c>
      <c r="R298" s="9">
        <f>D298*VLOOKUP(1001,적!$A$4:$D$13,3,FALSE)</f>
        <v>72066.344849600006</v>
      </c>
      <c r="S298" s="9">
        <f>D298*VLOOKUP(F298,보스!$A$4:$E$5,4,FALSE)</f>
        <v>2594388.4145856001</v>
      </c>
    </row>
    <row r="299" spans="1:19" ht="21.95" customHeight="1">
      <c r="A299" s="6">
        <v>5296</v>
      </c>
      <c r="B299" s="2" t="s">
        <v>447</v>
      </c>
      <c r="C299" s="6">
        <v>296</v>
      </c>
      <c r="D299" s="7">
        <v>36306.698514000003</v>
      </c>
      <c r="E299" s="2" t="s">
        <v>152</v>
      </c>
      <c r="F299" s="6">
        <v>2002</v>
      </c>
      <c r="G299" s="6">
        <v>5</v>
      </c>
      <c r="H299" s="7">
        <v>30</v>
      </c>
      <c r="I299" s="6">
        <v>5</v>
      </c>
      <c r="J299" s="6">
        <v>2</v>
      </c>
      <c r="K299" s="6">
        <v>1</v>
      </c>
      <c r="L299" s="6">
        <v>15</v>
      </c>
      <c r="M299" s="6">
        <v>117000</v>
      </c>
      <c r="N299" s="6">
        <v>2340000</v>
      </c>
      <c r="O299" s="6">
        <v>34</v>
      </c>
      <c r="P299" s="7">
        <v>1598.0544</v>
      </c>
      <c r="Q299" s="7">
        <v>6720</v>
      </c>
      <c r="R299" s="9">
        <f>D299*VLOOKUP(1001,적!$A$4:$D$13,3,FALSE)</f>
        <v>72613.397028000007</v>
      </c>
      <c r="S299" s="9">
        <f>D299*VLOOKUP(F299,보스!$A$4:$E$5,4,FALSE)</f>
        <v>2614082.2930080001</v>
      </c>
    </row>
    <row r="300" spans="1:19" ht="21.95" customHeight="1">
      <c r="A300" s="6">
        <v>5297</v>
      </c>
      <c r="B300" s="2" t="s">
        <v>448</v>
      </c>
      <c r="C300" s="6">
        <v>297</v>
      </c>
      <c r="D300" s="7">
        <v>36581.704328959997</v>
      </c>
      <c r="E300" s="2" t="s">
        <v>152</v>
      </c>
      <c r="F300" s="6">
        <v>2001</v>
      </c>
      <c r="G300" s="6">
        <v>5</v>
      </c>
      <c r="H300" s="7">
        <v>30</v>
      </c>
      <c r="I300" s="6">
        <v>5</v>
      </c>
      <c r="J300" s="6">
        <v>2</v>
      </c>
      <c r="K300" s="6">
        <v>1</v>
      </c>
      <c r="L300" s="6">
        <v>15</v>
      </c>
      <c r="M300" s="6">
        <v>117408</v>
      </c>
      <c r="N300" s="6">
        <v>2348160</v>
      </c>
      <c r="O300" s="6">
        <v>34</v>
      </c>
      <c r="P300" s="7">
        <v>1607.11484</v>
      </c>
      <c r="Q300" s="7">
        <v>6758.0971</v>
      </c>
      <c r="R300" s="9">
        <f>D300*VLOOKUP(1001,적!$A$4:$D$13,3,FALSE)</f>
        <v>73163.408657919994</v>
      </c>
      <c r="S300" s="9">
        <f>D300*VLOOKUP(F300,보스!$A$4:$E$5,4,FALSE)</f>
        <v>2633882.7116851197</v>
      </c>
    </row>
    <row r="301" spans="1:19" ht="21.95" customHeight="1">
      <c r="A301" s="6">
        <v>5298</v>
      </c>
      <c r="B301" s="2" t="s">
        <v>449</v>
      </c>
      <c r="C301" s="6">
        <v>298</v>
      </c>
      <c r="D301" s="7">
        <v>36858.195774400003</v>
      </c>
      <c r="E301" s="2" t="s">
        <v>152</v>
      </c>
      <c r="F301" s="6">
        <v>2002</v>
      </c>
      <c r="G301" s="6">
        <v>5</v>
      </c>
      <c r="H301" s="7">
        <v>30</v>
      </c>
      <c r="I301" s="6">
        <v>5</v>
      </c>
      <c r="J301" s="6">
        <v>2</v>
      </c>
      <c r="K301" s="6">
        <v>1</v>
      </c>
      <c r="L301" s="6">
        <v>15</v>
      </c>
      <c r="M301" s="6">
        <v>117816</v>
      </c>
      <c r="N301" s="6">
        <v>2356320</v>
      </c>
      <c r="O301" s="6">
        <v>34</v>
      </c>
      <c r="P301" s="7">
        <v>1616.19992</v>
      </c>
      <c r="Q301" s="7">
        <v>6796.2978000000003</v>
      </c>
      <c r="R301" s="9">
        <f>D301*VLOOKUP(1001,적!$A$4:$D$13,3,FALSE)</f>
        <v>73716.391548800006</v>
      </c>
      <c r="S301" s="9">
        <f>D301*VLOOKUP(F301,보스!$A$4:$E$5,4,FALSE)</f>
        <v>2653790.0957568004</v>
      </c>
    </row>
    <row r="302" spans="1:19" ht="21.95" customHeight="1">
      <c r="A302" s="6">
        <v>5299</v>
      </c>
      <c r="B302" s="2" t="s">
        <v>450</v>
      </c>
      <c r="C302" s="6">
        <v>299</v>
      </c>
      <c r="D302" s="7">
        <v>37136.178772320003</v>
      </c>
      <c r="E302" s="2" t="s">
        <v>152</v>
      </c>
      <c r="F302" s="6">
        <v>2001</v>
      </c>
      <c r="G302" s="6">
        <v>5</v>
      </c>
      <c r="H302" s="7">
        <v>30</v>
      </c>
      <c r="I302" s="6">
        <v>5</v>
      </c>
      <c r="J302" s="6">
        <v>2</v>
      </c>
      <c r="K302" s="6">
        <v>1</v>
      </c>
      <c r="L302" s="6">
        <v>15</v>
      </c>
      <c r="M302" s="6">
        <v>118224</v>
      </c>
      <c r="N302" s="6">
        <v>2364480</v>
      </c>
      <c r="O302" s="6">
        <v>34</v>
      </c>
      <c r="P302" s="7">
        <v>1625.3096399999999</v>
      </c>
      <c r="Q302" s="7">
        <v>6834.6021000000001</v>
      </c>
      <c r="R302" s="9">
        <f>D302*VLOOKUP(1001,적!$A$4:$D$13,3,FALSE)</f>
        <v>74272.357544640006</v>
      </c>
      <c r="S302" s="9">
        <f>D302*VLOOKUP(F302,보스!$A$4:$E$5,4,FALSE)</f>
        <v>2673804.8716070401</v>
      </c>
    </row>
    <row r="303" spans="1:19" ht="21.95" customHeight="1">
      <c r="A303" s="6">
        <v>5300</v>
      </c>
      <c r="B303" s="2" t="s">
        <v>451</v>
      </c>
      <c r="C303" s="6">
        <v>300</v>
      </c>
      <c r="D303" s="7">
        <v>37415.659262000001</v>
      </c>
      <c r="E303" s="2" t="s">
        <v>152</v>
      </c>
      <c r="F303" s="6">
        <v>2002</v>
      </c>
      <c r="G303" s="6">
        <v>5</v>
      </c>
      <c r="H303" s="7">
        <v>30</v>
      </c>
      <c r="I303" s="6">
        <v>5</v>
      </c>
      <c r="J303" s="6">
        <v>2</v>
      </c>
      <c r="K303" s="6">
        <v>1</v>
      </c>
      <c r="L303" s="6">
        <v>15</v>
      </c>
      <c r="M303" s="6">
        <v>118632</v>
      </c>
      <c r="N303" s="6">
        <v>2372640</v>
      </c>
      <c r="O303" s="6">
        <v>35</v>
      </c>
      <c r="P303" s="7">
        <v>1634.444</v>
      </c>
      <c r="Q303" s="7">
        <v>6873.01</v>
      </c>
      <c r="R303" s="9">
        <f>D303*VLOOKUP(1001,적!$A$4:$D$13,3,FALSE)</f>
        <v>74831.318524000002</v>
      </c>
      <c r="S303" s="9">
        <f>D303*VLOOKUP(F303,보스!$A$4:$E$5,4,FALSE)</f>
        <v>2693927.4668640001</v>
      </c>
    </row>
    <row r="304" spans="1:19" ht="21.95" customHeight="1">
      <c r="A304" s="6">
        <v>5301</v>
      </c>
      <c r="B304" s="2" t="s">
        <v>452</v>
      </c>
      <c r="C304" s="6">
        <v>301</v>
      </c>
      <c r="D304" s="7">
        <v>37696.643199999999</v>
      </c>
      <c r="E304" s="2" t="s">
        <v>152</v>
      </c>
      <c r="F304" s="6">
        <v>2001</v>
      </c>
      <c r="G304" s="6">
        <v>5</v>
      </c>
      <c r="H304" s="7">
        <v>30</v>
      </c>
      <c r="I304" s="6">
        <v>5</v>
      </c>
      <c r="J304" s="6">
        <v>2</v>
      </c>
      <c r="K304" s="6">
        <v>1</v>
      </c>
      <c r="L304" s="6">
        <v>15</v>
      </c>
      <c r="M304" s="6">
        <v>119040</v>
      </c>
      <c r="N304" s="6">
        <v>2380800</v>
      </c>
      <c r="O304" s="6">
        <v>35</v>
      </c>
      <c r="P304" s="7">
        <v>1643.6030000000001</v>
      </c>
      <c r="Q304" s="7">
        <v>6911.5214999999998</v>
      </c>
      <c r="R304" s="9">
        <f>D304*VLOOKUP(1001,적!$A$4:$D$13,3,FALSE)</f>
        <v>75393.286399999997</v>
      </c>
      <c r="S304" s="9">
        <f>D304*VLOOKUP(F304,보스!$A$4:$E$5,4,FALSE)</f>
        <v>2714158.3103999998</v>
      </c>
    </row>
    <row r="305" spans="1:19" ht="21.95" customHeight="1">
      <c r="A305" s="6">
        <v>5302</v>
      </c>
      <c r="B305" s="2" t="s">
        <v>453</v>
      </c>
      <c r="C305" s="6">
        <v>302</v>
      </c>
      <c r="D305" s="7">
        <v>37979.136560159997</v>
      </c>
      <c r="E305" s="2" t="s">
        <v>152</v>
      </c>
      <c r="F305" s="6">
        <v>2002</v>
      </c>
      <c r="G305" s="6">
        <v>5</v>
      </c>
      <c r="H305" s="7">
        <v>30</v>
      </c>
      <c r="I305" s="6">
        <v>5</v>
      </c>
      <c r="J305" s="6">
        <v>2</v>
      </c>
      <c r="K305" s="6">
        <v>1</v>
      </c>
      <c r="L305" s="6">
        <v>15</v>
      </c>
      <c r="M305" s="6">
        <v>119448</v>
      </c>
      <c r="N305" s="6">
        <v>2388960</v>
      </c>
      <c r="O305" s="6">
        <v>35</v>
      </c>
      <c r="P305" s="7">
        <v>1652.78664</v>
      </c>
      <c r="Q305" s="7">
        <v>6950.1365999999998</v>
      </c>
      <c r="R305" s="9">
        <f>D305*VLOOKUP(1001,적!$A$4:$D$13,3,FALSE)</f>
        <v>75958.273120319995</v>
      </c>
      <c r="S305" s="9">
        <f>D305*VLOOKUP(F305,보스!$A$4:$E$5,4,FALSE)</f>
        <v>2734497.8323315196</v>
      </c>
    </row>
    <row r="306" spans="1:19" ht="21.95" customHeight="1">
      <c r="A306" s="6">
        <v>5303</v>
      </c>
      <c r="B306" s="2" t="s">
        <v>454</v>
      </c>
      <c r="C306" s="6">
        <v>303</v>
      </c>
      <c r="D306" s="7">
        <v>38263.145333599998</v>
      </c>
      <c r="E306" s="2" t="s">
        <v>152</v>
      </c>
      <c r="F306" s="6">
        <v>2001</v>
      </c>
      <c r="G306" s="6">
        <v>5</v>
      </c>
      <c r="H306" s="7">
        <v>30</v>
      </c>
      <c r="I306" s="6">
        <v>5</v>
      </c>
      <c r="J306" s="6">
        <v>2</v>
      </c>
      <c r="K306" s="6">
        <v>1</v>
      </c>
      <c r="L306" s="6">
        <v>15</v>
      </c>
      <c r="M306" s="6">
        <v>119856</v>
      </c>
      <c r="N306" s="6">
        <v>2397120</v>
      </c>
      <c r="O306" s="6">
        <v>35</v>
      </c>
      <c r="P306" s="7">
        <v>1661.9949200000001</v>
      </c>
      <c r="Q306" s="7">
        <v>6988.8553000000002</v>
      </c>
      <c r="R306" s="9">
        <f>D306*VLOOKUP(1001,적!$A$4:$D$13,3,FALSE)</f>
        <v>76526.290667199995</v>
      </c>
      <c r="S306" s="9">
        <f>D306*VLOOKUP(F306,보스!$A$4:$E$5,4,FALSE)</f>
        <v>2754946.4640191998</v>
      </c>
    </row>
    <row r="307" spans="1:19" ht="21.95" customHeight="1">
      <c r="A307" s="6">
        <v>5304</v>
      </c>
      <c r="B307" s="2" t="s">
        <v>455</v>
      </c>
      <c r="C307" s="6">
        <v>304</v>
      </c>
      <c r="D307" s="7">
        <v>38548.675528719999</v>
      </c>
      <c r="E307" s="2" t="s">
        <v>152</v>
      </c>
      <c r="F307" s="6">
        <v>2002</v>
      </c>
      <c r="G307" s="6">
        <v>5</v>
      </c>
      <c r="H307" s="7">
        <v>30</v>
      </c>
      <c r="I307" s="6">
        <v>5</v>
      </c>
      <c r="J307" s="6">
        <v>2</v>
      </c>
      <c r="K307" s="6">
        <v>1</v>
      </c>
      <c r="L307" s="6">
        <v>15</v>
      </c>
      <c r="M307" s="6">
        <v>120264</v>
      </c>
      <c r="N307" s="6">
        <v>2405280</v>
      </c>
      <c r="O307" s="6">
        <v>35</v>
      </c>
      <c r="P307" s="7">
        <v>1671.22784</v>
      </c>
      <c r="Q307" s="7">
        <v>7027.6776</v>
      </c>
      <c r="R307" s="9">
        <f>D307*VLOOKUP(1001,적!$A$4:$D$13,3,FALSE)</f>
        <v>77097.351057439999</v>
      </c>
      <c r="S307" s="9">
        <f>D307*VLOOKUP(F307,보스!$A$4:$E$5,4,FALSE)</f>
        <v>2775504.6380678401</v>
      </c>
    </row>
    <row r="308" spans="1:19" ht="21.95" customHeight="1">
      <c r="A308" s="6">
        <v>5305</v>
      </c>
      <c r="B308" s="2" t="s">
        <v>456</v>
      </c>
      <c r="C308" s="6">
        <v>305</v>
      </c>
      <c r="D308" s="7">
        <v>38835.733171200001</v>
      </c>
      <c r="E308" s="2" t="s">
        <v>152</v>
      </c>
      <c r="F308" s="6">
        <v>2001</v>
      </c>
      <c r="G308" s="6">
        <v>5</v>
      </c>
      <c r="H308" s="7">
        <v>30</v>
      </c>
      <c r="I308" s="6">
        <v>5</v>
      </c>
      <c r="J308" s="6">
        <v>2</v>
      </c>
      <c r="K308" s="6">
        <v>1</v>
      </c>
      <c r="L308" s="6">
        <v>15</v>
      </c>
      <c r="M308" s="6">
        <v>120672</v>
      </c>
      <c r="N308" s="6">
        <v>2413440</v>
      </c>
      <c r="O308" s="6">
        <v>35</v>
      </c>
      <c r="P308" s="7">
        <v>1680.4854</v>
      </c>
      <c r="Q308" s="7">
        <v>7066.6035000000002</v>
      </c>
      <c r="R308" s="9">
        <f>D308*VLOOKUP(1001,적!$A$4:$D$13,3,FALSE)</f>
        <v>77671.466342400003</v>
      </c>
      <c r="S308" s="9">
        <f>D308*VLOOKUP(F308,보스!$A$4:$E$5,4,FALSE)</f>
        <v>2796172.7883264003</v>
      </c>
    </row>
    <row r="309" spans="1:19" ht="21.95" customHeight="1">
      <c r="A309" s="6">
        <v>5306</v>
      </c>
      <c r="B309" s="2" t="s">
        <v>457</v>
      </c>
      <c r="C309" s="6">
        <v>306</v>
      </c>
      <c r="D309" s="7">
        <v>39124.324304000002</v>
      </c>
      <c r="E309" s="2" t="s">
        <v>152</v>
      </c>
      <c r="F309" s="6">
        <v>2002</v>
      </c>
      <c r="G309" s="6">
        <v>5</v>
      </c>
      <c r="H309" s="7">
        <v>30</v>
      </c>
      <c r="I309" s="6">
        <v>5</v>
      </c>
      <c r="J309" s="6">
        <v>2</v>
      </c>
      <c r="K309" s="6">
        <v>1</v>
      </c>
      <c r="L309" s="6">
        <v>15</v>
      </c>
      <c r="M309" s="6">
        <v>121080</v>
      </c>
      <c r="N309" s="6">
        <v>2421600</v>
      </c>
      <c r="O309" s="6">
        <v>35</v>
      </c>
      <c r="P309" s="7">
        <v>1689.7675999999999</v>
      </c>
      <c r="Q309" s="7">
        <v>7105.6329999999998</v>
      </c>
      <c r="R309" s="9">
        <f>D309*VLOOKUP(1001,적!$A$4:$D$13,3,FALSE)</f>
        <v>78248.648608000003</v>
      </c>
      <c r="S309" s="9">
        <f>D309*VLOOKUP(F309,보스!$A$4:$E$5,4,FALSE)</f>
        <v>2816951.3498880002</v>
      </c>
    </row>
    <row r="310" spans="1:19" ht="21.95" customHeight="1">
      <c r="A310" s="6">
        <v>5307</v>
      </c>
      <c r="B310" s="2" t="s">
        <v>458</v>
      </c>
      <c r="C310" s="6">
        <v>307</v>
      </c>
      <c r="D310" s="7">
        <v>39414.454987359997</v>
      </c>
      <c r="E310" s="2" t="s">
        <v>152</v>
      </c>
      <c r="F310" s="6">
        <v>2001</v>
      </c>
      <c r="G310" s="6">
        <v>5</v>
      </c>
      <c r="H310" s="7">
        <v>30</v>
      </c>
      <c r="I310" s="6">
        <v>5</v>
      </c>
      <c r="J310" s="6">
        <v>2</v>
      </c>
      <c r="K310" s="6">
        <v>1</v>
      </c>
      <c r="L310" s="6">
        <v>15</v>
      </c>
      <c r="M310" s="6">
        <v>121488</v>
      </c>
      <c r="N310" s="6">
        <v>2429760</v>
      </c>
      <c r="O310" s="6">
        <v>35</v>
      </c>
      <c r="P310" s="7">
        <v>1699.0744400000001</v>
      </c>
      <c r="Q310" s="7">
        <v>7144.7660999999998</v>
      </c>
      <c r="R310" s="9">
        <f>D310*VLOOKUP(1001,적!$A$4:$D$13,3,FALSE)</f>
        <v>78828.909974719994</v>
      </c>
      <c r="S310" s="9">
        <f>D310*VLOOKUP(F310,보스!$A$4:$E$5,4,FALSE)</f>
        <v>2837840.7590899197</v>
      </c>
    </row>
    <row r="311" spans="1:19" ht="21.95" customHeight="1">
      <c r="A311" s="6">
        <v>5308</v>
      </c>
      <c r="B311" s="2" t="s">
        <v>459</v>
      </c>
      <c r="C311" s="6">
        <v>308</v>
      </c>
      <c r="D311" s="7">
        <v>39706.131298799999</v>
      </c>
      <c r="E311" s="2" t="s">
        <v>152</v>
      </c>
      <c r="F311" s="6">
        <v>2002</v>
      </c>
      <c r="G311" s="6">
        <v>5</v>
      </c>
      <c r="H311" s="7">
        <v>30</v>
      </c>
      <c r="I311" s="6">
        <v>5</v>
      </c>
      <c r="J311" s="6">
        <v>2</v>
      </c>
      <c r="K311" s="6">
        <v>1</v>
      </c>
      <c r="L311" s="6">
        <v>15</v>
      </c>
      <c r="M311" s="6">
        <v>121896</v>
      </c>
      <c r="N311" s="6">
        <v>2437920</v>
      </c>
      <c r="O311" s="6">
        <v>35</v>
      </c>
      <c r="P311" s="7">
        <v>1708.4059199999999</v>
      </c>
      <c r="Q311" s="7">
        <v>7184.0028000000002</v>
      </c>
      <c r="R311" s="9">
        <f>D311*VLOOKUP(1001,적!$A$4:$D$13,3,FALSE)</f>
        <v>79412.262597599998</v>
      </c>
      <c r="S311" s="9">
        <f>D311*VLOOKUP(F311,보스!$A$4:$E$5,4,FALSE)</f>
        <v>2858841.4535135999</v>
      </c>
    </row>
    <row r="312" spans="1:19" ht="21.95" customHeight="1">
      <c r="A312" s="6">
        <v>5309</v>
      </c>
      <c r="B312" s="2" t="s">
        <v>460</v>
      </c>
      <c r="C312" s="6">
        <v>309</v>
      </c>
      <c r="D312" s="7">
        <v>39999.359333120003</v>
      </c>
      <c r="E312" s="2" t="s">
        <v>152</v>
      </c>
      <c r="F312" s="6">
        <v>2001</v>
      </c>
      <c r="G312" s="6">
        <v>5</v>
      </c>
      <c r="H312" s="7">
        <v>30</v>
      </c>
      <c r="I312" s="6">
        <v>5</v>
      </c>
      <c r="J312" s="6">
        <v>2</v>
      </c>
      <c r="K312" s="6">
        <v>1</v>
      </c>
      <c r="L312" s="6">
        <v>15</v>
      </c>
      <c r="M312" s="6">
        <v>122304</v>
      </c>
      <c r="N312" s="6">
        <v>2446080</v>
      </c>
      <c r="O312" s="6">
        <v>35</v>
      </c>
      <c r="P312" s="7">
        <v>1717.7620400000001</v>
      </c>
      <c r="Q312" s="7">
        <v>7223.3431</v>
      </c>
      <c r="R312" s="9">
        <f>D312*VLOOKUP(1001,적!$A$4:$D$13,3,FALSE)</f>
        <v>79998.718666240005</v>
      </c>
      <c r="S312" s="9">
        <f>D312*VLOOKUP(F312,보스!$A$4:$E$5,4,FALSE)</f>
        <v>2879953.8719846401</v>
      </c>
    </row>
    <row r="313" spans="1:19" ht="21.95" customHeight="1">
      <c r="A313" s="6">
        <v>5310</v>
      </c>
      <c r="B313" s="2" t="s">
        <v>461</v>
      </c>
      <c r="C313" s="6">
        <v>310</v>
      </c>
      <c r="D313" s="7">
        <v>40294.145202400003</v>
      </c>
      <c r="E313" s="2" t="s">
        <v>152</v>
      </c>
      <c r="F313" s="6">
        <v>2002</v>
      </c>
      <c r="G313" s="6">
        <v>5</v>
      </c>
      <c r="H313" s="7">
        <v>30</v>
      </c>
      <c r="I313" s="6">
        <v>5</v>
      </c>
      <c r="J313" s="6">
        <v>2</v>
      </c>
      <c r="K313" s="6">
        <v>1</v>
      </c>
      <c r="L313" s="6">
        <v>15</v>
      </c>
      <c r="M313" s="6">
        <v>122712</v>
      </c>
      <c r="N313" s="6">
        <v>2454240</v>
      </c>
      <c r="O313" s="6">
        <v>36</v>
      </c>
      <c r="P313" s="7">
        <v>1727.1428000000001</v>
      </c>
      <c r="Q313" s="7">
        <v>7262.7870000000003</v>
      </c>
      <c r="R313" s="9">
        <f>D313*VLOOKUP(1001,적!$A$4:$D$13,3,FALSE)</f>
        <v>80588.290404800005</v>
      </c>
      <c r="S313" s="9">
        <f>D313*VLOOKUP(F313,보스!$A$4:$E$5,4,FALSE)</f>
        <v>2901178.4545728001</v>
      </c>
    </row>
    <row r="314" spans="1:19" ht="21.95" customHeight="1">
      <c r="A314" s="6">
        <v>5311</v>
      </c>
      <c r="B314" s="2" t="s">
        <v>462</v>
      </c>
      <c r="C314" s="6">
        <v>311</v>
      </c>
      <c r="D314" s="7">
        <v>40590.495036</v>
      </c>
      <c r="E314" s="2" t="s">
        <v>152</v>
      </c>
      <c r="F314" s="6">
        <v>2001</v>
      </c>
      <c r="G314" s="6">
        <v>5</v>
      </c>
      <c r="H314" s="7">
        <v>30</v>
      </c>
      <c r="I314" s="6">
        <v>5</v>
      </c>
      <c r="J314" s="6">
        <v>2</v>
      </c>
      <c r="K314" s="6">
        <v>1</v>
      </c>
      <c r="L314" s="6">
        <v>15</v>
      </c>
      <c r="M314" s="6">
        <v>123119</v>
      </c>
      <c r="N314" s="6">
        <v>2462380</v>
      </c>
      <c r="O314" s="6">
        <v>36</v>
      </c>
      <c r="P314" s="7">
        <v>1736.5482</v>
      </c>
      <c r="Q314" s="7">
        <v>7302.3344999999999</v>
      </c>
      <c r="R314" s="9">
        <f>D314*VLOOKUP(1001,적!$A$4:$D$13,3,FALSE)</f>
        <v>81180.990072000001</v>
      </c>
      <c r="S314" s="9">
        <f>D314*VLOOKUP(F314,보스!$A$4:$E$5,4,FALSE)</f>
        <v>2922515.6425919998</v>
      </c>
    </row>
    <row r="315" spans="1:19" ht="21.95" customHeight="1">
      <c r="A315" s="6">
        <v>5312</v>
      </c>
      <c r="B315" s="2" t="s">
        <v>463</v>
      </c>
      <c r="C315" s="6">
        <v>312</v>
      </c>
      <c r="D315" s="7">
        <v>40888.414980560003</v>
      </c>
      <c r="E315" s="2" t="s">
        <v>152</v>
      </c>
      <c r="F315" s="6">
        <v>2002</v>
      </c>
      <c r="G315" s="6">
        <v>5</v>
      </c>
      <c r="H315" s="7">
        <v>30</v>
      </c>
      <c r="I315" s="6">
        <v>5</v>
      </c>
      <c r="J315" s="6">
        <v>2</v>
      </c>
      <c r="K315" s="6">
        <v>1</v>
      </c>
      <c r="L315" s="6">
        <v>15</v>
      </c>
      <c r="M315" s="6">
        <v>123527</v>
      </c>
      <c r="N315" s="6">
        <v>2470540</v>
      </c>
      <c r="O315" s="6">
        <v>36</v>
      </c>
      <c r="P315" s="7">
        <v>1745.9782399999999</v>
      </c>
      <c r="Q315" s="7">
        <v>7341.9856</v>
      </c>
      <c r="R315" s="9">
        <f>D315*VLOOKUP(1001,적!$A$4:$D$13,3,FALSE)</f>
        <v>81776.829961120005</v>
      </c>
      <c r="S315" s="9">
        <f>D315*VLOOKUP(F315,보스!$A$4:$E$5,4,FALSE)</f>
        <v>2943965.8786003203</v>
      </c>
    </row>
    <row r="316" spans="1:19" ht="21.95" customHeight="1">
      <c r="A316" s="6">
        <v>5313</v>
      </c>
      <c r="B316" s="2" t="s">
        <v>464</v>
      </c>
      <c r="C316" s="6">
        <v>313</v>
      </c>
      <c r="D316" s="7">
        <v>41187.911200000002</v>
      </c>
      <c r="E316" s="2" t="s">
        <v>152</v>
      </c>
      <c r="F316" s="6">
        <v>2001</v>
      </c>
      <c r="G316" s="6">
        <v>5</v>
      </c>
      <c r="H316" s="7">
        <v>30</v>
      </c>
      <c r="I316" s="6">
        <v>5</v>
      </c>
      <c r="J316" s="6">
        <v>2</v>
      </c>
      <c r="K316" s="6">
        <v>1</v>
      </c>
      <c r="L316" s="6">
        <v>15</v>
      </c>
      <c r="M316" s="6">
        <v>123935</v>
      </c>
      <c r="N316" s="6">
        <v>2478700</v>
      </c>
      <c r="O316" s="6">
        <v>36</v>
      </c>
      <c r="P316" s="7">
        <v>1755.43292</v>
      </c>
      <c r="Q316" s="7">
        <v>7381.7403000000004</v>
      </c>
      <c r="R316" s="9">
        <f>D316*VLOOKUP(1001,적!$A$4:$D$13,3,FALSE)</f>
        <v>82375.822400000005</v>
      </c>
      <c r="S316" s="9">
        <f>D316*VLOOKUP(F316,보스!$A$4:$E$5,4,FALSE)</f>
        <v>2965529.6063999999</v>
      </c>
    </row>
    <row r="317" spans="1:19" ht="21.95" customHeight="1">
      <c r="A317" s="6">
        <v>5314</v>
      </c>
      <c r="B317" s="2" t="s">
        <v>465</v>
      </c>
      <c r="C317" s="6">
        <v>314</v>
      </c>
      <c r="D317" s="7">
        <v>41488.989875519997</v>
      </c>
      <c r="E317" s="2" t="s">
        <v>152</v>
      </c>
      <c r="F317" s="6">
        <v>2002</v>
      </c>
      <c r="G317" s="6">
        <v>5</v>
      </c>
      <c r="H317" s="7">
        <v>30</v>
      </c>
      <c r="I317" s="6">
        <v>5</v>
      </c>
      <c r="J317" s="6">
        <v>2</v>
      </c>
      <c r="K317" s="6">
        <v>1</v>
      </c>
      <c r="L317" s="6">
        <v>15</v>
      </c>
      <c r="M317" s="6">
        <v>124343</v>
      </c>
      <c r="N317" s="6">
        <v>2486860</v>
      </c>
      <c r="O317" s="6">
        <v>36</v>
      </c>
      <c r="P317" s="7">
        <v>1764.9122400000001</v>
      </c>
      <c r="Q317" s="7">
        <v>7421.5986000000003</v>
      </c>
      <c r="R317" s="9">
        <f>D317*VLOOKUP(1001,적!$A$4:$D$13,3,FALSE)</f>
        <v>82977.979751039995</v>
      </c>
      <c r="S317" s="9">
        <f>D317*VLOOKUP(F317,보스!$A$4:$E$5,4,FALSE)</f>
        <v>2987207.2710374398</v>
      </c>
    </row>
    <row r="318" spans="1:19" ht="21.95" customHeight="1">
      <c r="A318" s="6">
        <v>5315</v>
      </c>
      <c r="B318" s="2" t="s">
        <v>466</v>
      </c>
      <c r="C318" s="6">
        <v>315</v>
      </c>
      <c r="D318" s="7">
        <v>41791.6572056</v>
      </c>
      <c r="E318" s="2" t="s">
        <v>152</v>
      </c>
      <c r="F318" s="6">
        <v>2001</v>
      </c>
      <c r="G318" s="6">
        <v>5</v>
      </c>
      <c r="H318" s="7">
        <v>30</v>
      </c>
      <c r="I318" s="6">
        <v>5</v>
      </c>
      <c r="J318" s="6">
        <v>2</v>
      </c>
      <c r="K318" s="6">
        <v>1</v>
      </c>
      <c r="L318" s="6">
        <v>15</v>
      </c>
      <c r="M318" s="6">
        <v>124751</v>
      </c>
      <c r="N318" s="6">
        <v>2495020</v>
      </c>
      <c r="O318" s="6">
        <v>36</v>
      </c>
      <c r="P318" s="7">
        <v>1774.4161999999999</v>
      </c>
      <c r="Q318" s="7">
        <v>7461.5604999999996</v>
      </c>
      <c r="R318" s="9">
        <f>D318*VLOOKUP(1001,적!$A$4:$D$13,3,FALSE)</f>
        <v>83583.314411200001</v>
      </c>
      <c r="S318" s="9">
        <f>D318*VLOOKUP(F318,보스!$A$4:$E$5,4,FALSE)</f>
        <v>3008999.3188032</v>
      </c>
    </row>
    <row r="319" spans="1:19" ht="21.95" customHeight="1">
      <c r="A319" s="6">
        <v>5316</v>
      </c>
      <c r="B319" s="2" t="s">
        <v>467</v>
      </c>
      <c r="C319" s="6">
        <v>316</v>
      </c>
      <c r="D319" s="7">
        <v>42095.919406000001</v>
      </c>
      <c r="E319" s="2" t="s">
        <v>152</v>
      </c>
      <c r="F319" s="6">
        <v>2002</v>
      </c>
      <c r="G319" s="6">
        <v>5</v>
      </c>
      <c r="H319" s="7">
        <v>30</v>
      </c>
      <c r="I319" s="6">
        <v>5</v>
      </c>
      <c r="J319" s="6">
        <v>2</v>
      </c>
      <c r="K319" s="6">
        <v>1</v>
      </c>
      <c r="L319" s="6">
        <v>15</v>
      </c>
      <c r="M319" s="6">
        <v>125158</v>
      </c>
      <c r="N319" s="6">
        <v>2503160</v>
      </c>
      <c r="O319" s="6">
        <v>36</v>
      </c>
      <c r="P319" s="7">
        <v>1783.9448</v>
      </c>
      <c r="Q319" s="7">
        <v>7501.6260000000002</v>
      </c>
      <c r="R319" s="9">
        <f>D319*VLOOKUP(1001,적!$A$4:$D$13,3,FALSE)</f>
        <v>84191.838812000002</v>
      </c>
      <c r="S319" s="9">
        <f>D319*VLOOKUP(F319,보스!$A$4:$E$5,4,FALSE)</f>
        <v>3030906.1972320001</v>
      </c>
    </row>
    <row r="320" spans="1:19" ht="21.95" customHeight="1">
      <c r="A320" s="6">
        <v>5317</v>
      </c>
      <c r="B320" s="2" t="s">
        <v>468</v>
      </c>
      <c r="C320" s="6">
        <v>317</v>
      </c>
      <c r="D320" s="7">
        <v>42401.782709760002</v>
      </c>
      <c r="E320" s="2" t="s">
        <v>152</v>
      </c>
      <c r="F320" s="6">
        <v>2001</v>
      </c>
      <c r="G320" s="6">
        <v>5</v>
      </c>
      <c r="H320" s="7">
        <v>30</v>
      </c>
      <c r="I320" s="6">
        <v>5</v>
      </c>
      <c r="J320" s="6">
        <v>2</v>
      </c>
      <c r="K320" s="6">
        <v>1</v>
      </c>
      <c r="L320" s="6">
        <v>15</v>
      </c>
      <c r="M320" s="6">
        <v>125566</v>
      </c>
      <c r="N320" s="6">
        <v>2511320</v>
      </c>
      <c r="O320" s="6">
        <v>36</v>
      </c>
      <c r="P320" s="7">
        <v>1793.4980399999999</v>
      </c>
      <c r="Q320" s="7">
        <v>7541.7951000000003</v>
      </c>
      <c r="R320" s="9">
        <f>D320*VLOOKUP(1001,적!$A$4:$D$13,3,FALSE)</f>
        <v>84803.565419520004</v>
      </c>
      <c r="S320" s="9">
        <f>D320*VLOOKUP(F320,보스!$A$4:$E$5,4,FALSE)</f>
        <v>3052928.3551027202</v>
      </c>
    </row>
    <row r="321" spans="1:19" ht="21.95" customHeight="1">
      <c r="A321" s="6">
        <v>5318</v>
      </c>
      <c r="B321" s="2" t="s">
        <v>469</v>
      </c>
      <c r="C321" s="6">
        <v>318</v>
      </c>
      <c r="D321" s="7">
        <v>42709.253367199999</v>
      </c>
      <c r="E321" s="2" t="s">
        <v>152</v>
      </c>
      <c r="F321" s="6">
        <v>2002</v>
      </c>
      <c r="G321" s="6">
        <v>5</v>
      </c>
      <c r="H321" s="7">
        <v>30</v>
      </c>
      <c r="I321" s="6">
        <v>5</v>
      </c>
      <c r="J321" s="6">
        <v>2</v>
      </c>
      <c r="K321" s="6">
        <v>1</v>
      </c>
      <c r="L321" s="6">
        <v>15</v>
      </c>
      <c r="M321" s="6">
        <v>125974</v>
      </c>
      <c r="N321" s="6">
        <v>2519480</v>
      </c>
      <c r="O321" s="6">
        <v>36</v>
      </c>
      <c r="P321" s="7">
        <v>1803.07592</v>
      </c>
      <c r="Q321" s="7">
        <v>7582.0677999999998</v>
      </c>
      <c r="R321" s="9">
        <f>D321*VLOOKUP(1001,적!$A$4:$D$13,3,FALSE)</f>
        <v>85418.506734399998</v>
      </c>
      <c r="S321" s="9">
        <f>D321*VLOOKUP(F321,보스!$A$4:$E$5,4,FALSE)</f>
        <v>3075066.2424384002</v>
      </c>
    </row>
    <row r="322" spans="1:19" ht="21.95" customHeight="1">
      <c r="A322" s="6">
        <v>5319</v>
      </c>
      <c r="B322" s="2" t="s">
        <v>470</v>
      </c>
      <c r="C322" s="6">
        <v>319</v>
      </c>
      <c r="D322" s="7">
        <v>43018.337645920001</v>
      </c>
      <c r="E322" s="2" t="s">
        <v>152</v>
      </c>
      <c r="F322" s="6">
        <v>2001</v>
      </c>
      <c r="G322" s="6">
        <v>5</v>
      </c>
      <c r="H322" s="7">
        <v>30</v>
      </c>
      <c r="I322" s="6">
        <v>5</v>
      </c>
      <c r="J322" s="6">
        <v>2</v>
      </c>
      <c r="K322" s="6">
        <v>1</v>
      </c>
      <c r="L322" s="6">
        <v>15</v>
      </c>
      <c r="M322" s="6">
        <v>126382</v>
      </c>
      <c r="N322" s="6">
        <v>2527640</v>
      </c>
      <c r="O322" s="6">
        <v>36</v>
      </c>
      <c r="P322" s="7">
        <v>1812.6784399999999</v>
      </c>
      <c r="Q322" s="7">
        <v>7622.4440999999997</v>
      </c>
      <c r="R322" s="9">
        <f>D322*VLOOKUP(1001,적!$A$4:$D$13,3,FALSE)</f>
        <v>86036.675291840002</v>
      </c>
      <c r="S322" s="9">
        <f>D322*VLOOKUP(F322,보스!$A$4:$E$5,4,FALSE)</f>
        <v>3097320.31050624</v>
      </c>
    </row>
    <row r="323" spans="1:19" ht="21.95" customHeight="1">
      <c r="A323" s="6">
        <v>5320</v>
      </c>
      <c r="B323" s="2" t="s">
        <v>471</v>
      </c>
      <c r="C323" s="6">
        <v>320</v>
      </c>
      <c r="D323" s="7">
        <v>43329.041830800001</v>
      </c>
      <c r="E323" s="2" t="s">
        <v>152</v>
      </c>
      <c r="F323" s="6">
        <v>2002</v>
      </c>
      <c r="G323" s="6">
        <v>5</v>
      </c>
      <c r="H323" s="7">
        <v>30</v>
      </c>
      <c r="I323" s="6">
        <v>5</v>
      </c>
      <c r="J323" s="6">
        <v>2</v>
      </c>
      <c r="K323" s="6">
        <v>1</v>
      </c>
      <c r="L323" s="6">
        <v>15</v>
      </c>
      <c r="M323" s="6">
        <v>126789</v>
      </c>
      <c r="N323" s="6">
        <v>2535780</v>
      </c>
      <c r="O323" s="6">
        <v>37</v>
      </c>
      <c r="P323" s="7">
        <v>1822.3055999999999</v>
      </c>
      <c r="Q323" s="7">
        <v>7662.924</v>
      </c>
      <c r="R323" s="9">
        <f>D323*VLOOKUP(1001,적!$A$4:$D$13,3,FALSE)</f>
        <v>86658.083661600002</v>
      </c>
      <c r="S323" s="9">
        <f>D323*VLOOKUP(F323,보스!$A$4:$E$5,4,FALSE)</f>
        <v>3119691.0118176001</v>
      </c>
    </row>
    <row r="324" spans="1:19" ht="21.95" customHeight="1">
      <c r="A324" s="6">
        <v>5321</v>
      </c>
      <c r="B324" s="2" t="s">
        <v>472</v>
      </c>
      <c r="C324" s="6">
        <v>321</v>
      </c>
      <c r="D324" s="7">
        <v>43641.372223999999</v>
      </c>
      <c r="E324" s="2" t="s">
        <v>152</v>
      </c>
      <c r="F324" s="6">
        <v>2001</v>
      </c>
      <c r="G324" s="6">
        <v>5</v>
      </c>
      <c r="H324" s="7">
        <v>30</v>
      </c>
      <c r="I324" s="6">
        <v>5</v>
      </c>
      <c r="J324" s="6">
        <v>2</v>
      </c>
      <c r="K324" s="6">
        <v>1</v>
      </c>
      <c r="L324" s="6">
        <v>15</v>
      </c>
      <c r="M324" s="6">
        <v>127197</v>
      </c>
      <c r="N324" s="6">
        <v>2543940</v>
      </c>
      <c r="O324" s="6">
        <v>37</v>
      </c>
      <c r="P324" s="7">
        <v>1831.9574</v>
      </c>
      <c r="Q324" s="7">
        <v>7703.5074999999997</v>
      </c>
      <c r="R324" s="9">
        <f>D324*VLOOKUP(1001,적!$A$4:$D$13,3,FALSE)</f>
        <v>87282.744447999998</v>
      </c>
      <c r="S324" s="9">
        <f>D324*VLOOKUP(F324,보스!$A$4:$E$5,4,FALSE)</f>
        <v>3142178.8001279999</v>
      </c>
    </row>
    <row r="325" spans="1:19" ht="21.95" customHeight="1">
      <c r="A325" s="6">
        <v>5322</v>
      </c>
      <c r="B325" s="2" t="s">
        <v>473</v>
      </c>
      <c r="C325" s="6">
        <v>322</v>
      </c>
      <c r="D325" s="7">
        <v>43955.335144960001</v>
      </c>
      <c r="E325" s="2" t="s">
        <v>152</v>
      </c>
      <c r="F325" s="6">
        <v>2002</v>
      </c>
      <c r="G325" s="6">
        <v>5</v>
      </c>
      <c r="H325" s="7">
        <v>30</v>
      </c>
      <c r="I325" s="6">
        <v>5</v>
      </c>
      <c r="J325" s="6">
        <v>2</v>
      </c>
      <c r="K325" s="6">
        <v>1</v>
      </c>
      <c r="L325" s="6">
        <v>15</v>
      </c>
      <c r="M325" s="6">
        <v>127605</v>
      </c>
      <c r="N325" s="6">
        <v>2552100</v>
      </c>
      <c r="O325" s="6">
        <v>37</v>
      </c>
      <c r="P325" s="7">
        <v>1841.63384</v>
      </c>
      <c r="Q325" s="7">
        <v>7744.1945999999998</v>
      </c>
      <c r="R325" s="9">
        <f>D325*VLOOKUP(1001,적!$A$4:$D$13,3,FALSE)</f>
        <v>87910.670289920003</v>
      </c>
      <c r="S325" s="9">
        <f>D325*VLOOKUP(F325,보스!$A$4:$E$5,4,FALSE)</f>
        <v>3164784.1304371199</v>
      </c>
    </row>
    <row r="326" spans="1:19" ht="21.95" customHeight="1">
      <c r="A326" s="6">
        <v>5323</v>
      </c>
      <c r="B326" s="2" t="s">
        <v>474</v>
      </c>
      <c r="C326" s="6">
        <v>323</v>
      </c>
      <c r="D326" s="7">
        <v>44270.936930399999</v>
      </c>
      <c r="E326" s="2" t="s">
        <v>152</v>
      </c>
      <c r="F326" s="6">
        <v>2001</v>
      </c>
      <c r="G326" s="6">
        <v>5</v>
      </c>
      <c r="H326" s="7">
        <v>30</v>
      </c>
      <c r="I326" s="6">
        <v>5</v>
      </c>
      <c r="J326" s="6">
        <v>2</v>
      </c>
      <c r="K326" s="6">
        <v>1</v>
      </c>
      <c r="L326" s="6">
        <v>15</v>
      </c>
      <c r="M326" s="6">
        <v>128012</v>
      </c>
      <c r="N326" s="6">
        <v>2560240</v>
      </c>
      <c r="O326" s="6">
        <v>37</v>
      </c>
      <c r="P326" s="7">
        <v>1851.33492</v>
      </c>
      <c r="Q326" s="7">
        <v>7784.9853000000003</v>
      </c>
      <c r="R326" s="9">
        <f>D326*VLOOKUP(1001,적!$A$4:$D$13,3,FALSE)</f>
        <v>88541.873860799999</v>
      </c>
      <c r="S326" s="9">
        <f>D326*VLOOKUP(F326,보스!$A$4:$E$5,4,FALSE)</f>
        <v>3187507.4589887997</v>
      </c>
    </row>
    <row r="327" spans="1:19" ht="21.95" customHeight="1">
      <c r="A327" s="6">
        <v>5324</v>
      </c>
      <c r="B327" s="2" t="s">
        <v>475</v>
      </c>
      <c r="C327" s="6">
        <v>324</v>
      </c>
      <c r="D327" s="7">
        <v>44588.183934319997</v>
      </c>
      <c r="E327" s="2" t="s">
        <v>152</v>
      </c>
      <c r="F327" s="6">
        <v>2002</v>
      </c>
      <c r="G327" s="6">
        <v>5</v>
      </c>
      <c r="H327" s="7">
        <v>30</v>
      </c>
      <c r="I327" s="6">
        <v>5</v>
      </c>
      <c r="J327" s="6">
        <v>2</v>
      </c>
      <c r="K327" s="6">
        <v>1</v>
      </c>
      <c r="L327" s="6">
        <v>15</v>
      </c>
      <c r="M327" s="6">
        <v>128420</v>
      </c>
      <c r="N327" s="6">
        <v>2568400</v>
      </c>
      <c r="O327" s="6">
        <v>37</v>
      </c>
      <c r="P327" s="7">
        <v>1861.0606399999999</v>
      </c>
      <c r="Q327" s="7">
        <v>7825.8796000000002</v>
      </c>
      <c r="R327" s="9">
        <f>D327*VLOOKUP(1001,적!$A$4:$D$13,3,FALSE)</f>
        <v>89176.367868639994</v>
      </c>
      <c r="S327" s="9">
        <f>D327*VLOOKUP(F327,보스!$A$4:$E$5,4,FALSE)</f>
        <v>3210349.2432710398</v>
      </c>
    </row>
    <row r="328" spans="1:19" ht="21.95" customHeight="1">
      <c r="A328" s="6">
        <v>5325</v>
      </c>
      <c r="B328" s="2" t="s">
        <v>476</v>
      </c>
      <c r="C328" s="6">
        <v>325</v>
      </c>
      <c r="D328" s="7">
        <v>44907.082527999999</v>
      </c>
      <c r="E328" s="2" t="s">
        <v>152</v>
      </c>
      <c r="F328" s="6">
        <v>2001</v>
      </c>
      <c r="G328" s="6">
        <v>5</v>
      </c>
      <c r="H328" s="7">
        <v>30</v>
      </c>
      <c r="I328" s="6">
        <v>5</v>
      </c>
      <c r="J328" s="6">
        <v>2</v>
      </c>
      <c r="K328" s="6">
        <v>1</v>
      </c>
      <c r="L328" s="6">
        <v>15</v>
      </c>
      <c r="M328" s="6">
        <v>128828</v>
      </c>
      <c r="N328" s="6">
        <v>2576560</v>
      </c>
      <c r="O328" s="6">
        <v>37</v>
      </c>
      <c r="P328" s="7">
        <v>1870.8109999999999</v>
      </c>
      <c r="Q328" s="7">
        <v>7866.8774999999996</v>
      </c>
      <c r="R328" s="9">
        <f>D328*VLOOKUP(1001,적!$A$4:$D$13,3,FALSE)</f>
        <v>89814.165055999998</v>
      </c>
      <c r="S328" s="9">
        <f>D328*VLOOKUP(F328,보스!$A$4:$E$5,4,FALSE)</f>
        <v>3233309.9420159999</v>
      </c>
    </row>
    <row r="329" spans="1:19" ht="21.95" customHeight="1">
      <c r="A329" s="6">
        <v>5326</v>
      </c>
      <c r="B329" s="2" t="s">
        <v>477</v>
      </c>
      <c r="C329" s="6">
        <v>326</v>
      </c>
      <c r="D329" s="7">
        <v>45227.6391</v>
      </c>
      <c r="E329" s="2" t="s">
        <v>152</v>
      </c>
      <c r="F329" s="6">
        <v>2002</v>
      </c>
      <c r="G329" s="6">
        <v>5</v>
      </c>
      <c r="H329" s="7">
        <v>30</v>
      </c>
      <c r="I329" s="6">
        <v>5</v>
      </c>
      <c r="J329" s="6">
        <v>2</v>
      </c>
      <c r="K329" s="6">
        <v>1</v>
      </c>
      <c r="L329" s="6">
        <v>15</v>
      </c>
      <c r="M329" s="6">
        <v>129235</v>
      </c>
      <c r="N329" s="6">
        <v>2584700</v>
      </c>
      <c r="O329" s="6">
        <v>37</v>
      </c>
      <c r="P329" s="7">
        <v>1880.586</v>
      </c>
      <c r="Q329" s="7">
        <v>7907.9790000000003</v>
      </c>
      <c r="R329" s="9">
        <f>D329*VLOOKUP(1001,적!$A$4:$D$13,3,FALSE)</f>
        <v>90455.278200000001</v>
      </c>
      <c r="S329" s="9">
        <f>D329*VLOOKUP(F329,보스!$A$4:$E$5,4,FALSE)</f>
        <v>3256390.0152000003</v>
      </c>
    </row>
    <row r="330" spans="1:19" ht="21.95" customHeight="1">
      <c r="A330" s="6">
        <v>5327</v>
      </c>
      <c r="B330" s="2" t="s">
        <v>478</v>
      </c>
      <c r="C330" s="6">
        <v>327</v>
      </c>
      <c r="D330" s="7">
        <v>45549.860056160003</v>
      </c>
      <c r="E330" s="2" t="s">
        <v>152</v>
      </c>
      <c r="F330" s="6">
        <v>2001</v>
      </c>
      <c r="G330" s="6">
        <v>5</v>
      </c>
      <c r="H330" s="7">
        <v>30</v>
      </c>
      <c r="I330" s="6">
        <v>5</v>
      </c>
      <c r="J330" s="6">
        <v>2</v>
      </c>
      <c r="K330" s="6">
        <v>1</v>
      </c>
      <c r="L330" s="6">
        <v>15</v>
      </c>
      <c r="M330" s="6">
        <v>129643</v>
      </c>
      <c r="N330" s="6">
        <v>2592860</v>
      </c>
      <c r="O330" s="6">
        <v>37</v>
      </c>
      <c r="P330" s="7">
        <v>1890.38564</v>
      </c>
      <c r="Q330" s="7">
        <v>7949.1841000000004</v>
      </c>
      <c r="R330" s="9">
        <f>D330*VLOOKUP(1001,적!$A$4:$D$13,3,FALSE)</f>
        <v>91099.720112320007</v>
      </c>
      <c r="S330" s="9">
        <f>D330*VLOOKUP(F330,보스!$A$4:$E$5,4,FALSE)</f>
        <v>3279589.9240435204</v>
      </c>
    </row>
    <row r="331" spans="1:19" ht="21.95" customHeight="1">
      <c r="A331" s="6">
        <v>5328</v>
      </c>
      <c r="B331" s="2" t="s">
        <v>479</v>
      </c>
      <c r="C331" s="6">
        <v>328</v>
      </c>
      <c r="D331" s="7">
        <v>45873.751819600002</v>
      </c>
      <c r="E331" s="2" t="s">
        <v>152</v>
      </c>
      <c r="F331" s="6">
        <v>2002</v>
      </c>
      <c r="G331" s="6">
        <v>5</v>
      </c>
      <c r="H331" s="7">
        <v>30</v>
      </c>
      <c r="I331" s="6">
        <v>5</v>
      </c>
      <c r="J331" s="6">
        <v>2</v>
      </c>
      <c r="K331" s="6">
        <v>1</v>
      </c>
      <c r="L331" s="6">
        <v>15</v>
      </c>
      <c r="M331" s="6">
        <v>130051</v>
      </c>
      <c r="N331" s="6">
        <v>2601020</v>
      </c>
      <c r="O331" s="6">
        <v>37</v>
      </c>
      <c r="P331" s="7">
        <v>1900.20992</v>
      </c>
      <c r="Q331" s="7">
        <v>7990.4928</v>
      </c>
      <c r="R331" s="9">
        <f>D331*VLOOKUP(1001,적!$A$4:$D$13,3,FALSE)</f>
        <v>91747.503639200004</v>
      </c>
      <c r="S331" s="9">
        <f>D331*VLOOKUP(F331,보스!$A$4:$E$5,4,FALSE)</f>
        <v>3302910.1310112001</v>
      </c>
    </row>
    <row r="332" spans="1:19" ht="21.95" customHeight="1">
      <c r="A332" s="6">
        <v>5329</v>
      </c>
      <c r="B332" s="2" t="s">
        <v>480</v>
      </c>
      <c r="C332" s="6">
        <v>329</v>
      </c>
      <c r="D332" s="7">
        <v>46199.320830719997</v>
      </c>
      <c r="E332" s="2" t="s">
        <v>152</v>
      </c>
      <c r="F332" s="6">
        <v>2001</v>
      </c>
      <c r="G332" s="6">
        <v>5</v>
      </c>
      <c r="H332" s="7">
        <v>30</v>
      </c>
      <c r="I332" s="6">
        <v>5</v>
      </c>
      <c r="J332" s="6">
        <v>2</v>
      </c>
      <c r="K332" s="6">
        <v>1</v>
      </c>
      <c r="L332" s="6">
        <v>15</v>
      </c>
      <c r="M332" s="6">
        <v>130458</v>
      </c>
      <c r="N332" s="6">
        <v>2609160</v>
      </c>
      <c r="O332" s="6">
        <v>37</v>
      </c>
      <c r="P332" s="7">
        <v>1910.0588399999999</v>
      </c>
      <c r="Q332" s="7">
        <v>8031.9050999999999</v>
      </c>
      <c r="R332" s="9">
        <f>D332*VLOOKUP(1001,적!$A$4:$D$13,3,FALSE)</f>
        <v>92398.641661439993</v>
      </c>
      <c r="S332" s="9">
        <f>D332*VLOOKUP(F332,보스!$A$4:$E$5,4,FALSE)</f>
        <v>3326351.0998118399</v>
      </c>
    </row>
    <row r="333" spans="1:19" ht="21.95" customHeight="1">
      <c r="A333" s="6">
        <v>5330</v>
      </c>
      <c r="B333" s="2" t="s">
        <v>481</v>
      </c>
      <c r="C333" s="6">
        <v>330</v>
      </c>
      <c r="D333" s="7">
        <v>46526.573547200001</v>
      </c>
      <c r="E333" s="2" t="s">
        <v>152</v>
      </c>
      <c r="F333" s="6">
        <v>2002</v>
      </c>
      <c r="G333" s="6">
        <v>5</v>
      </c>
      <c r="H333" s="7">
        <v>30</v>
      </c>
      <c r="I333" s="6">
        <v>5</v>
      </c>
      <c r="J333" s="6">
        <v>2</v>
      </c>
      <c r="K333" s="6">
        <v>1</v>
      </c>
      <c r="L333" s="6">
        <v>15</v>
      </c>
      <c r="M333" s="6">
        <v>130866</v>
      </c>
      <c r="N333" s="6">
        <v>2617320</v>
      </c>
      <c r="O333" s="6">
        <v>38</v>
      </c>
      <c r="P333" s="7">
        <v>1919.9323999999999</v>
      </c>
      <c r="Q333" s="7">
        <v>8073.4210000000003</v>
      </c>
      <c r="R333" s="9">
        <f>D333*VLOOKUP(1001,적!$A$4:$D$13,3,FALSE)</f>
        <v>93053.147094400003</v>
      </c>
      <c r="S333" s="9">
        <f>D333*VLOOKUP(F333,보스!$A$4:$E$5,4,FALSE)</f>
        <v>3349913.2953984002</v>
      </c>
    </row>
    <row r="334" spans="1:19" ht="21.95" customHeight="1">
      <c r="A334" s="6">
        <v>5331</v>
      </c>
      <c r="B334" s="2" t="s">
        <v>482</v>
      </c>
      <c r="C334" s="6">
        <v>331</v>
      </c>
      <c r="D334" s="7">
        <v>46855.516444000001</v>
      </c>
      <c r="E334" s="2" t="s">
        <v>152</v>
      </c>
      <c r="F334" s="6">
        <v>2001</v>
      </c>
      <c r="G334" s="6">
        <v>5</v>
      </c>
      <c r="H334" s="7">
        <v>30</v>
      </c>
      <c r="I334" s="6">
        <v>5</v>
      </c>
      <c r="J334" s="6">
        <v>2</v>
      </c>
      <c r="K334" s="6">
        <v>1</v>
      </c>
      <c r="L334" s="6">
        <v>15</v>
      </c>
      <c r="M334" s="6">
        <v>131273</v>
      </c>
      <c r="N334" s="6">
        <v>2625460</v>
      </c>
      <c r="O334" s="6">
        <v>38</v>
      </c>
      <c r="P334" s="7">
        <v>1929.8306</v>
      </c>
      <c r="Q334" s="7">
        <v>8115.0405000000001</v>
      </c>
      <c r="R334" s="9">
        <f>D334*VLOOKUP(1001,적!$A$4:$D$13,3,FALSE)</f>
        <v>93711.032888000002</v>
      </c>
      <c r="S334" s="9">
        <f>D334*VLOOKUP(F334,보스!$A$4:$E$5,4,FALSE)</f>
        <v>3373597.1839680001</v>
      </c>
    </row>
    <row r="335" spans="1:19" ht="21.95" customHeight="1">
      <c r="A335" s="6">
        <v>5332</v>
      </c>
      <c r="B335" s="2" t="s">
        <v>483</v>
      </c>
      <c r="C335" s="6">
        <v>332</v>
      </c>
      <c r="D335" s="7">
        <v>47186.15601336</v>
      </c>
      <c r="E335" s="2" t="s">
        <v>152</v>
      </c>
      <c r="F335" s="6">
        <v>2002</v>
      </c>
      <c r="G335" s="6">
        <v>5</v>
      </c>
      <c r="H335" s="7">
        <v>30</v>
      </c>
      <c r="I335" s="6">
        <v>5</v>
      </c>
      <c r="J335" s="6">
        <v>2</v>
      </c>
      <c r="K335" s="6">
        <v>1</v>
      </c>
      <c r="L335" s="6">
        <v>15</v>
      </c>
      <c r="M335" s="6">
        <v>131681</v>
      </c>
      <c r="N335" s="6">
        <v>2633620</v>
      </c>
      <c r="O335" s="6">
        <v>38</v>
      </c>
      <c r="P335" s="7">
        <v>1939.75344</v>
      </c>
      <c r="Q335" s="7">
        <v>8156.7636000000002</v>
      </c>
      <c r="R335" s="9">
        <f>D335*VLOOKUP(1001,적!$A$4:$D$13,3,FALSE)</f>
        <v>94372.312026719999</v>
      </c>
      <c r="S335" s="9">
        <f>D335*VLOOKUP(F335,보스!$A$4:$E$5,4,FALSE)</f>
        <v>3397403.2329619201</v>
      </c>
    </row>
    <row r="336" spans="1:19" ht="21.95" customHeight="1">
      <c r="A336" s="6">
        <v>5333</v>
      </c>
      <c r="B336" s="2" t="s">
        <v>484</v>
      </c>
      <c r="C336" s="6">
        <v>333</v>
      </c>
      <c r="D336" s="7">
        <v>47518.498764800002</v>
      </c>
      <c r="E336" s="2" t="s">
        <v>152</v>
      </c>
      <c r="F336" s="6">
        <v>2001</v>
      </c>
      <c r="G336" s="6">
        <v>5</v>
      </c>
      <c r="H336" s="7">
        <v>30</v>
      </c>
      <c r="I336" s="6">
        <v>5</v>
      </c>
      <c r="J336" s="6">
        <v>2</v>
      </c>
      <c r="K336" s="6">
        <v>1</v>
      </c>
      <c r="L336" s="6">
        <v>15</v>
      </c>
      <c r="M336" s="6">
        <v>132088</v>
      </c>
      <c r="N336" s="6">
        <v>2641760</v>
      </c>
      <c r="O336" s="6">
        <v>38</v>
      </c>
      <c r="P336" s="7">
        <v>1949.70092</v>
      </c>
      <c r="Q336" s="7">
        <v>8198.5902999999998</v>
      </c>
      <c r="R336" s="9">
        <f>D336*VLOOKUP(1001,적!$A$4:$D$13,3,FALSE)</f>
        <v>95036.997529600005</v>
      </c>
      <c r="S336" s="9">
        <f>D336*VLOOKUP(F336,보스!$A$4:$E$5,4,FALSE)</f>
        <v>3421331.9110656003</v>
      </c>
    </row>
    <row r="337" spans="1:19" ht="21.95" customHeight="1">
      <c r="A337" s="6">
        <v>5334</v>
      </c>
      <c r="B337" s="2" t="s">
        <v>485</v>
      </c>
      <c r="C337" s="6">
        <v>334</v>
      </c>
      <c r="D337" s="7">
        <v>47852.551225119998</v>
      </c>
      <c r="E337" s="2" t="s">
        <v>152</v>
      </c>
      <c r="F337" s="6">
        <v>2002</v>
      </c>
      <c r="G337" s="6">
        <v>5</v>
      </c>
      <c r="H337" s="7">
        <v>30</v>
      </c>
      <c r="I337" s="6">
        <v>5</v>
      </c>
      <c r="J337" s="6">
        <v>2</v>
      </c>
      <c r="K337" s="6">
        <v>1</v>
      </c>
      <c r="L337" s="6">
        <v>15</v>
      </c>
      <c r="M337" s="6">
        <v>132496</v>
      </c>
      <c r="N337" s="6">
        <v>2649920</v>
      </c>
      <c r="O337" s="6">
        <v>38</v>
      </c>
      <c r="P337" s="7">
        <v>1959.6730399999999</v>
      </c>
      <c r="Q337" s="7">
        <v>8240.5205999999998</v>
      </c>
      <c r="R337" s="9">
        <f>D337*VLOOKUP(1001,적!$A$4:$D$13,3,FALSE)</f>
        <v>95705.102450239996</v>
      </c>
      <c r="S337" s="9">
        <f>D337*VLOOKUP(F337,보스!$A$4:$E$5,4,FALSE)</f>
        <v>3445383.6882086396</v>
      </c>
    </row>
    <row r="338" spans="1:19" ht="21.95" customHeight="1">
      <c r="A338" s="6">
        <v>5335</v>
      </c>
      <c r="B338" s="2" t="s">
        <v>486</v>
      </c>
      <c r="C338" s="6">
        <v>335</v>
      </c>
      <c r="D338" s="7">
        <v>48188.319938400004</v>
      </c>
      <c r="E338" s="2" t="s">
        <v>152</v>
      </c>
      <c r="F338" s="6">
        <v>2001</v>
      </c>
      <c r="G338" s="6">
        <v>5</v>
      </c>
      <c r="H338" s="7">
        <v>30</v>
      </c>
      <c r="I338" s="6">
        <v>5</v>
      </c>
      <c r="J338" s="6">
        <v>2</v>
      </c>
      <c r="K338" s="6">
        <v>1</v>
      </c>
      <c r="L338" s="6">
        <v>15</v>
      </c>
      <c r="M338" s="6">
        <v>132904</v>
      </c>
      <c r="N338" s="6">
        <v>2658080</v>
      </c>
      <c r="O338" s="6">
        <v>38</v>
      </c>
      <c r="P338" s="7">
        <v>1969.6697999999999</v>
      </c>
      <c r="Q338" s="7">
        <v>8282.5545000000002</v>
      </c>
      <c r="R338" s="9">
        <f>D338*VLOOKUP(1001,적!$A$4:$D$13,3,FALSE)</f>
        <v>96376.639876800007</v>
      </c>
      <c r="S338" s="9">
        <f>D338*VLOOKUP(F338,보스!$A$4:$E$5,4,FALSE)</f>
        <v>3469559.0355648003</v>
      </c>
    </row>
    <row r="339" spans="1:19" ht="21.95" customHeight="1">
      <c r="A339" s="6">
        <v>5336</v>
      </c>
      <c r="B339" s="2" t="s">
        <v>487</v>
      </c>
      <c r="C339" s="6">
        <v>336</v>
      </c>
      <c r="D339" s="7">
        <v>48525.811465999999</v>
      </c>
      <c r="E339" s="2" t="s">
        <v>152</v>
      </c>
      <c r="F339" s="6">
        <v>2002</v>
      </c>
      <c r="G339" s="6">
        <v>5</v>
      </c>
      <c r="H339" s="7">
        <v>30</v>
      </c>
      <c r="I339" s="6">
        <v>5</v>
      </c>
      <c r="J339" s="6">
        <v>2</v>
      </c>
      <c r="K339" s="6">
        <v>1</v>
      </c>
      <c r="L339" s="6">
        <v>15</v>
      </c>
      <c r="M339" s="6">
        <v>133311</v>
      </c>
      <c r="N339" s="6">
        <v>2666220</v>
      </c>
      <c r="O339" s="6">
        <v>38</v>
      </c>
      <c r="P339" s="7">
        <v>1979.6912</v>
      </c>
      <c r="Q339" s="7">
        <v>8324.6919999999991</v>
      </c>
      <c r="R339" s="9">
        <f>D339*VLOOKUP(1001,적!$A$4:$D$13,3,FALSE)</f>
        <v>97051.622931999998</v>
      </c>
      <c r="S339" s="9">
        <f>D339*VLOOKUP(F339,보스!$A$4:$E$5,4,FALSE)</f>
        <v>3493858.4255519998</v>
      </c>
    </row>
    <row r="340" spans="1:19" ht="21.95" customHeight="1">
      <c r="A340" s="6">
        <v>5337</v>
      </c>
      <c r="B340" s="2" t="s">
        <v>488</v>
      </c>
      <c r="C340" s="6">
        <v>337</v>
      </c>
      <c r="D340" s="7">
        <v>48865.03238656</v>
      </c>
      <c r="E340" s="2" t="s">
        <v>152</v>
      </c>
      <c r="F340" s="6">
        <v>2001</v>
      </c>
      <c r="G340" s="6">
        <v>5</v>
      </c>
      <c r="H340" s="7">
        <v>30</v>
      </c>
      <c r="I340" s="6">
        <v>5</v>
      </c>
      <c r="J340" s="6">
        <v>2</v>
      </c>
      <c r="K340" s="6">
        <v>1</v>
      </c>
      <c r="L340" s="6">
        <v>15</v>
      </c>
      <c r="M340" s="6">
        <v>133719</v>
      </c>
      <c r="N340" s="6">
        <v>2674380</v>
      </c>
      <c r="O340" s="6">
        <v>38</v>
      </c>
      <c r="P340" s="7">
        <v>1989.7372399999999</v>
      </c>
      <c r="Q340" s="7">
        <v>8366.9331000000002</v>
      </c>
      <c r="R340" s="9">
        <f>D340*VLOOKUP(1001,적!$A$4:$D$13,3,FALSE)</f>
        <v>97730.064773120001</v>
      </c>
      <c r="S340" s="9">
        <f>D340*VLOOKUP(F340,보스!$A$4:$E$5,4,FALSE)</f>
        <v>3518282.33183232</v>
      </c>
    </row>
    <row r="341" spans="1:19" ht="21.95" customHeight="1">
      <c r="A341" s="6">
        <v>5338</v>
      </c>
      <c r="B341" s="2" t="s">
        <v>489</v>
      </c>
      <c r="C341" s="6">
        <v>338</v>
      </c>
      <c r="D341" s="7">
        <v>49205.989296</v>
      </c>
      <c r="E341" s="2" t="s">
        <v>152</v>
      </c>
      <c r="F341" s="6">
        <v>2002</v>
      </c>
      <c r="G341" s="6">
        <v>5</v>
      </c>
      <c r="H341" s="7">
        <v>30</v>
      </c>
      <c r="I341" s="6">
        <v>5</v>
      </c>
      <c r="J341" s="6">
        <v>2</v>
      </c>
      <c r="K341" s="6">
        <v>1</v>
      </c>
      <c r="L341" s="6">
        <v>15</v>
      </c>
      <c r="M341" s="6">
        <v>134126</v>
      </c>
      <c r="N341" s="6">
        <v>2682520</v>
      </c>
      <c r="O341" s="6">
        <v>38</v>
      </c>
      <c r="P341" s="7">
        <v>1999.80792</v>
      </c>
      <c r="Q341" s="7">
        <v>8409.2777999999998</v>
      </c>
      <c r="R341" s="9">
        <f>D341*VLOOKUP(1001,적!$A$4:$D$13,3,FALSE)</f>
        <v>98411.978591999999</v>
      </c>
      <c r="S341" s="9">
        <f>D341*VLOOKUP(F341,보스!$A$4:$E$5,4,FALSE)</f>
        <v>3542831.2293119999</v>
      </c>
    </row>
    <row r="342" spans="1:19" ht="21.95" customHeight="1">
      <c r="A342" s="6">
        <v>5339</v>
      </c>
      <c r="B342" s="2" t="s">
        <v>490</v>
      </c>
      <c r="C342" s="6">
        <v>339</v>
      </c>
      <c r="D342" s="7">
        <v>49548.688807519997</v>
      </c>
      <c r="E342" s="2" t="s">
        <v>152</v>
      </c>
      <c r="F342" s="6">
        <v>2001</v>
      </c>
      <c r="G342" s="6">
        <v>5</v>
      </c>
      <c r="H342" s="7">
        <v>30</v>
      </c>
      <c r="I342" s="6">
        <v>5</v>
      </c>
      <c r="J342" s="6">
        <v>2</v>
      </c>
      <c r="K342" s="6">
        <v>1</v>
      </c>
      <c r="L342" s="6">
        <v>15</v>
      </c>
      <c r="M342" s="6">
        <v>134534</v>
      </c>
      <c r="N342" s="6">
        <v>2690680</v>
      </c>
      <c r="O342" s="6">
        <v>38</v>
      </c>
      <c r="P342" s="7">
        <v>2009.9032400000001</v>
      </c>
      <c r="Q342" s="7">
        <v>8451.7260999999999</v>
      </c>
      <c r="R342" s="9">
        <f>D342*VLOOKUP(1001,적!$A$4:$D$13,3,FALSE)</f>
        <v>99097.377615039994</v>
      </c>
      <c r="S342" s="9">
        <f>D342*VLOOKUP(F342,보스!$A$4:$E$5,4,FALSE)</f>
        <v>3567505.5941414395</v>
      </c>
    </row>
    <row r="343" spans="1:19" ht="21.95" customHeight="1">
      <c r="A343" s="6">
        <v>5340</v>
      </c>
      <c r="B343" s="2" t="s">
        <v>491</v>
      </c>
      <c r="C343" s="6">
        <v>340</v>
      </c>
      <c r="D343" s="7">
        <v>49893.137551599997</v>
      </c>
      <c r="E343" s="2" t="s">
        <v>152</v>
      </c>
      <c r="F343" s="6">
        <v>2002</v>
      </c>
      <c r="G343" s="6">
        <v>5</v>
      </c>
      <c r="H343" s="7">
        <v>30</v>
      </c>
      <c r="I343" s="6">
        <v>5</v>
      </c>
      <c r="J343" s="6">
        <v>2</v>
      </c>
      <c r="K343" s="6">
        <v>1</v>
      </c>
      <c r="L343" s="6">
        <v>15</v>
      </c>
      <c r="M343" s="6">
        <v>134941</v>
      </c>
      <c r="N343" s="6">
        <v>2698820</v>
      </c>
      <c r="O343" s="6">
        <v>39</v>
      </c>
      <c r="P343" s="7">
        <v>2020.0232000000001</v>
      </c>
      <c r="Q343" s="7">
        <v>8494.2780000000002</v>
      </c>
      <c r="R343" s="9">
        <f>D343*VLOOKUP(1001,적!$A$4:$D$13,3,FALSE)</f>
        <v>99786.275103199994</v>
      </c>
      <c r="S343" s="9">
        <f>D343*VLOOKUP(F343,보스!$A$4:$E$5,4,FALSE)</f>
        <v>3592305.9037151998</v>
      </c>
    </row>
    <row r="344" spans="1:19" ht="21.95" customHeight="1">
      <c r="A344" s="6">
        <v>5341</v>
      </c>
      <c r="B344" s="2" t="s">
        <v>492</v>
      </c>
      <c r="C344" s="6">
        <v>341</v>
      </c>
      <c r="D344" s="7">
        <v>50239.342175999998</v>
      </c>
      <c r="E344" s="2" t="s">
        <v>152</v>
      </c>
      <c r="F344" s="6">
        <v>2001</v>
      </c>
      <c r="G344" s="6">
        <v>5</v>
      </c>
      <c r="H344" s="7">
        <v>30</v>
      </c>
      <c r="I344" s="6">
        <v>5</v>
      </c>
      <c r="J344" s="6">
        <v>2</v>
      </c>
      <c r="K344" s="6">
        <v>1</v>
      </c>
      <c r="L344" s="6">
        <v>15</v>
      </c>
      <c r="M344" s="6">
        <v>135348</v>
      </c>
      <c r="N344" s="6">
        <v>2706960</v>
      </c>
      <c r="O344" s="6">
        <v>39</v>
      </c>
      <c r="P344" s="7">
        <v>2030.1677999999999</v>
      </c>
      <c r="Q344" s="7">
        <v>8536.9334999999992</v>
      </c>
      <c r="R344" s="9">
        <f>D344*VLOOKUP(1001,적!$A$4:$D$13,3,FALSE)</f>
        <v>100478.684352</v>
      </c>
      <c r="S344" s="9">
        <f>D344*VLOOKUP(F344,보스!$A$4:$E$5,4,FALSE)</f>
        <v>3617232.6366719999</v>
      </c>
    </row>
    <row r="345" spans="1:19" ht="21.95" customHeight="1">
      <c r="A345" s="6">
        <v>5342</v>
      </c>
      <c r="B345" s="2" t="s">
        <v>493</v>
      </c>
      <c r="C345" s="6">
        <v>342</v>
      </c>
      <c r="D345" s="7">
        <v>50587.309345759997</v>
      </c>
      <c r="E345" s="2" t="s">
        <v>152</v>
      </c>
      <c r="F345" s="6">
        <v>2002</v>
      </c>
      <c r="G345" s="6">
        <v>5</v>
      </c>
      <c r="H345" s="7">
        <v>30</v>
      </c>
      <c r="I345" s="6">
        <v>5</v>
      </c>
      <c r="J345" s="6">
        <v>2</v>
      </c>
      <c r="K345" s="6">
        <v>1</v>
      </c>
      <c r="L345" s="6">
        <v>15</v>
      </c>
      <c r="M345" s="6">
        <v>135756</v>
      </c>
      <c r="N345" s="6">
        <v>2715120</v>
      </c>
      <c r="O345" s="6">
        <v>39</v>
      </c>
      <c r="P345" s="7">
        <v>2040.3370399999999</v>
      </c>
      <c r="Q345" s="7">
        <v>8579.6926000000003</v>
      </c>
      <c r="R345" s="9">
        <f>D345*VLOOKUP(1001,적!$A$4:$D$13,3,FALSE)</f>
        <v>101174.61869151999</v>
      </c>
      <c r="S345" s="9">
        <f>D345*VLOOKUP(F345,보스!$A$4:$E$5,4,FALSE)</f>
        <v>3642286.2728947196</v>
      </c>
    </row>
    <row r="346" spans="1:19" ht="21.95" customHeight="1">
      <c r="A346" s="6">
        <v>5343</v>
      </c>
      <c r="B346" s="2" t="s">
        <v>494</v>
      </c>
      <c r="C346" s="6">
        <v>343</v>
      </c>
      <c r="D346" s="7">
        <v>50937.045743199997</v>
      </c>
      <c r="E346" s="2" t="s">
        <v>152</v>
      </c>
      <c r="F346" s="6">
        <v>2001</v>
      </c>
      <c r="G346" s="6">
        <v>5</v>
      </c>
      <c r="H346" s="7">
        <v>30</v>
      </c>
      <c r="I346" s="6">
        <v>5</v>
      </c>
      <c r="J346" s="6">
        <v>2</v>
      </c>
      <c r="K346" s="6">
        <v>1</v>
      </c>
      <c r="L346" s="6">
        <v>15</v>
      </c>
      <c r="M346" s="6">
        <v>136163</v>
      </c>
      <c r="N346" s="6">
        <v>2723260</v>
      </c>
      <c r="O346" s="6">
        <v>39</v>
      </c>
      <c r="P346" s="7">
        <v>2050.5309200000002</v>
      </c>
      <c r="Q346" s="7">
        <v>8622.5553</v>
      </c>
      <c r="R346" s="9">
        <f>D346*VLOOKUP(1001,적!$A$4:$D$13,3,FALSE)</f>
        <v>101874.09148639999</v>
      </c>
      <c r="S346" s="9">
        <f>D346*VLOOKUP(F346,보스!$A$4:$E$5,4,FALSE)</f>
        <v>3667467.2935103998</v>
      </c>
    </row>
    <row r="347" spans="1:19" ht="21.95" customHeight="1">
      <c r="A347" s="6">
        <v>5344</v>
      </c>
      <c r="B347" s="2" t="s">
        <v>495</v>
      </c>
      <c r="C347" s="6">
        <v>344</v>
      </c>
      <c r="D347" s="7">
        <v>51288.558067919999</v>
      </c>
      <c r="E347" s="2" t="s">
        <v>152</v>
      </c>
      <c r="F347" s="6">
        <v>2002</v>
      </c>
      <c r="G347" s="6">
        <v>5</v>
      </c>
      <c r="H347" s="7">
        <v>30</v>
      </c>
      <c r="I347" s="6">
        <v>5</v>
      </c>
      <c r="J347" s="6">
        <v>2</v>
      </c>
      <c r="K347" s="6">
        <v>1</v>
      </c>
      <c r="L347" s="6">
        <v>15</v>
      </c>
      <c r="M347" s="6">
        <v>136571</v>
      </c>
      <c r="N347" s="6">
        <v>2731420</v>
      </c>
      <c r="O347" s="6">
        <v>39</v>
      </c>
      <c r="P347" s="7">
        <v>2060.74944</v>
      </c>
      <c r="Q347" s="7">
        <v>8665.5216</v>
      </c>
      <c r="R347" s="9">
        <f>D347*VLOOKUP(1001,적!$A$4:$D$13,3,FALSE)</f>
        <v>102577.11613584</v>
      </c>
      <c r="S347" s="9">
        <f>D347*VLOOKUP(F347,보스!$A$4:$E$5,4,FALSE)</f>
        <v>3692776.1808902398</v>
      </c>
    </row>
    <row r="348" spans="1:19" ht="21.95" customHeight="1">
      <c r="A348" s="6">
        <v>5345</v>
      </c>
      <c r="B348" s="2" t="s">
        <v>496</v>
      </c>
      <c r="C348" s="6">
        <v>345</v>
      </c>
      <c r="D348" s="7">
        <v>51641.853036799999</v>
      </c>
      <c r="E348" s="2" t="s">
        <v>152</v>
      </c>
      <c r="F348" s="6">
        <v>2001</v>
      </c>
      <c r="G348" s="6">
        <v>5</v>
      </c>
      <c r="H348" s="7">
        <v>30</v>
      </c>
      <c r="I348" s="6">
        <v>5</v>
      </c>
      <c r="J348" s="6">
        <v>2</v>
      </c>
      <c r="K348" s="6">
        <v>1</v>
      </c>
      <c r="L348" s="6">
        <v>15</v>
      </c>
      <c r="M348" s="6">
        <v>136978</v>
      </c>
      <c r="N348" s="6">
        <v>2739560</v>
      </c>
      <c r="O348" s="6">
        <v>39</v>
      </c>
      <c r="P348" s="7">
        <v>2070.9926</v>
      </c>
      <c r="Q348" s="7">
        <v>8708.5915000000005</v>
      </c>
      <c r="R348" s="9">
        <f>D348*VLOOKUP(1001,적!$A$4:$D$13,3,FALSE)</f>
        <v>103283.7060736</v>
      </c>
      <c r="S348" s="9">
        <f>D348*VLOOKUP(F348,보스!$A$4:$E$5,4,FALSE)</f>
        <v>3718213.4186495999</v>
      </c>
    </row>
    <row r="349" spans="1:19" ht="21.95" customHeight="1">
      <c r="A349" s="6">
        <v>5346</v>
      </c>
      <c r="B349" s="2" t="s">
        <v>497</v>
      </c>
      <c r="C349" s="6">
        <v>346</v>
      </c>
      <c r="D349" s="7">
        <v>51996.937383999997</v>
      </c>
      <c r="E349" s="2" t="s">
        <v>152</v>
      </c>
      <c r="F349" s="6">
        <v>2002</v>
      </c>
      <c r="G349" s="6">
        <v>5</v>
      </c>
      <c r="H349" s="7">
        <v>30</v>
      </c>
      <c r="I349" s="6">
        <v>5</v>
      </c>
      <c r="J349" s="6">
        <v>2</v>
      </c>
      <c r="K349" s="6">
        <v>1</v>
      </c>
      <c r="L349" s="6">
        <v>15</v>
      </c>
      <c r="M349" s="6">
        <v>137386</v>
      </c>
      <c r="N349" s="6">
        <v>2747720</v>
      </c>
      <c r="O349" s="6">
        <v>39</v>
      </c>
      <c r="P349" s="7">
        <v>2081.2604000000001</v>
      </c>
      <c r="Q349" s="7">
        <v>8751.7649999999994</v>
      </c>
      <c r="R349" s="9">
        <f>D349*VLOOKUP(1001,적!$A$4:$D$13,3,FALSE)</f>
        <v>103993.87476799999</v>
      </c>
      <c r="S349" s="9">
        <f>D349*VLOOKUP(F349,보스!$A$4:$E$5,4,FALSE)</f>
        <v>3743779.4916479997</v>
      </c>
    </row>
    <row r="350" spans="1:19" ht="21.95" customHeight="1">
      <c r="A350" s="6">
        <v>5347</v>
      </c>
      <c r="B350" s="2" t="s">
        <v>498</v>
      </c>
      <c r="C350" s="6">
        <v>347</v>
      </c>
      <c r="D350" s="7">
        <v>52353.81786096</v>
      </c>
      <c r="E350" s="2" t="s">
        <v>152</v>
      </c>
      <c r="F350" s="6">
        <v>2001</v>
      </c>
      <c r="G350" s="6">
        <v>5</v>
      </c>
      <c r="H350" s="7">
        <v>30</v>
      </c>
      <c r="I350" s="6">
        <v>5</v>
      </c>
      <c r="J350" s="6">
        <v>2</v>
      </c>
      <c r="K350" s="6">
        <v>1</v>
      </c>
      <c r="L350" s="6">
        <v>15</v>
      </c>
      <c r="M350" s="6">
        <v>137793</v>
      </c>
      <c r="N350" s="6">
        <v>2755860</v>
      </c>
      <c r="O350" s="6">
        <v>39</v>
      </c>
      <c r="P350" s="7">
        <v>2091.5528399999998</v>
      </c>
      <c r="Q350" s="7">
        <v>8795.0421000000006</v>
      </c>
      <c r="R350" s="9">
        <f>D350*VLOOKUP(1001,적!$A$4:$D$13,3,FALSE)</f>
        <v>104707.63572192</v>
      </c>
      <c r="S350" s="9">
        <f>D350*VLOOKUP(F350,보스!$A$4:$E$5,4,FALSE)</f>
        <v>3769474.8859891202</v>
      </c>
    </row>
    <row r="351" spans="1:19" ht="21.95" customHeight="1">
      <c r="A351" s="6">
        <v>5348</v>
      </c>
      <c r="B351" s="2" t="s">
        <v>499</v>
      </c>
      <c r="C351" s="6">
        <v>348</v>
      </c>
      <c r="D351" s="7">
        <v>52712.501236399999</v>
      </c>
      <c r="E351" s="2" t="s">
        <v>152</v>
      </c>
      <c r="F351" s="6">
        <v>2002</v>
      </c>
      <c r="G351" s="6">
        <v>5</v>
      </c>
      <c r="H351" s="7">
        <v>30</v>
      </c>
      <c r="I351" s="6">
        <v>5</v>
      </c>
      <c r="J351" s="6">
        <v>2</v>
      </c>
      <c r="K351" s="6">
        <v>1</v>
      </c>
      <c r="L351" s="6">
        <v>15</v>
      </c>
      <c r="M351" s="6">
        <v>138200</v>
      </c>
      <c r="N351" s="6">
        <v>2764000</v>
      </c>
      <c r="O351" s="6">
        <v>39</v>
      </c>
      <c r="P351" s="7">
        <v>2101.8699200000001</v>
      </c>
      <c r="Q351" s="7">
        <v>8838.4228000000003</v>
      </c>
      <c r="R351" s="9">
        <f>D351*VLOOKUP(1001,적!$A$4:$D$13,3,FALSE)</f>
        <v>105425.0024728</v>
      </c>
      <c r="S351" s="9">
        <f>D351*VLOOKUP(F351,보스!$A$4:$E$5,4,FALSE)</f>
        <v>3795300.0890207998</v>
      </c>
    </row>
    <row r="352" spans="1:19" ht="21.95" customHeight="1">
      <c r="A352" s="6">
        <v>5349</v>
      </c>
      <c r="B352" s="2" t="s">
        <v>500</v>
      </c>
      <c r="C352" s="6">
        <v>349</v>
      </c>
      <c r="D352" s="7">
        <v>53072.994296320001</v>
      </c>
      <c r="E352" s="2" t="s">
        <v>152</v>
      </c>
      <c r="F352" s="6">
        <v>2001</v>
      </c>
      <c r="G352" s="6">
        <v>5</v>
      </c>
      <c r="H352" s="7">
        <v>30</v>
      </c>
      <c r="I352" s="6">
        <v>5</v>
      </c>
      <c r="J352" s="6">
        <v>2</v>
      </c>
      <c r="K352" s="6">
        <v>1</v>
      </c>
      <c r="L352" s="6">
        <v>15</v>
      </c>
      <c r="M352" s="6">
        <v>138608</v>
      </c>
      <c r="N352" s="6">
        <v>2772160</v>
      </c>
      <c r="O352" s="6">
        <v>39</v>
      </c>
      <c r="P352" s="7">
        <v>2112.21164</v>
      </c>
      <c r="Q352" s="7">
        <v>8881.9071000000004</v>
      </c>
      <c r="R352" s="9">
        <f>D352*VLOOKUP(1001,적!$A$4:$D$13,3,FALSE)</f>
        <v>106145.98859264</v>
      </c>
      <c r="S352" s="9">
        <f>D352*VLOOKUP(F352,보스!$A$4:$E$5,4,FALSE)</f>
        <v>3821255.5893350402</v>
      </c>
    </row>
    <row r="353" spans="1:19" ht="21.95" customHeight="1">
      <c r="A353" s="6">
        <v>5350</v>
      </c>
      <c r="B353" s="2" t="s">
        <v>501</v>
      </c>
      <c r="C353" s="6">
        <v>350</v>
      </c>
      <c r="D353" s="7">
        <v>53435.303844000002</v>
      </c>
      <c r="E353" s="2" t="s">
        <v>152</v>
      </c>
      <c r="F353" s="6">
        <v>2002</v>
      </c>
      <c r="G353" s="6">
        <v>5</v>
      </c>
      <c r="H353" s="7">
        <v>30</v>
      </c>
      <c r="I353" s="6">
        <v>5</v>
      </c>
      <c r="J353" s="6">
        <v>2</v>
      </c>
      <c r="K353" s="6">
        <v>1</v>
      </c>
      <c r="L353" s="6">
        <v>15</v>
      </c>
      <c r="M353" s="6">
        <v>139015</v>
      </c>
      <c r="N353" s="6">
        <v>2780300</v>
      </c>
      <c r="O353" s="6">
        <v>40</v>
      </c>
      <c r="P353" s="7">
        <v>2122.578</v>
      </c>
      <c r="Q353" s="7">
        <v>8925.4950000000008</v>
      </c>
      <c r="R353" s="9">
        <f>D353*VLOOKUP(1001,적!$A$4:$D$13,3,FALSE)</f>
        <v>106870.607688</v>
      </c>
      <c r="S353" s="9">
        <f>D353*VLOOKUP(F353,보스!$A$4:$E$5,4,FALSE)</f>
        <v>3847341.876768</v>
      </c>
    </row>
    <row r="354" spans="1:19" ht="21.95" customHeight="1">
      <c r="A354" s="6">
        <v>5351</v>
      </c>
      <c r="B354" s="2" t="s">
        <v>502</v>
      </c>
      <c r="C354" s="6">
        <v>351</v>
      </c>
      <c r="D354" s="7">
        <v>53799.436699999998</v>
      </c>
      <c r="E354" s="2" t="s">
        <v>152</v>
      </c>
      <c r="F354" s="6">
        <v>2001</v>
      </c>
      <c r="G354" s="6">
        <v>5</v>
      </c>
      <c r="H354" s="7">
        <v>30</v>
      </c>
      <c r="I354" s="6">
        <v>5</v>
      </c>
      <c r="J354" s="6">
        <v>2</v>
      </c>
      <c r="K354" s="6">
        <v>1</v>
      </c>
      <c r="L354" s="6">
        <v>15</v>
      </c>
      <c r="M354" s="6">
        <v>139422</v>
      </c>
      <c r="N354" s="6">
        <v>2788440</v>
      </c>
      <c r="O354" s="6">
        <v>40</v>
      </c>
      <c r="P354" s="7">
        <v>2132.9690000000001</v>
      </c>
      <c r="Q354" s="7">
        <v>8969.1864999999998</v>
      </c>
      <c r="R354" s="9">
        <f>D354*VLOOKUP(1001,적!$A$4:$D$13,3,FALSE)</f>
        <v>107598.8734</v>
      </c>
      <c r="S354" s="9">
        <f>D354*VLOOKUP(F354,보스!$A$4:$E$5,4,FALSE)</f>
        <v>3873559.4424000001</v>
      </c>
    </row>
    <row r="355" spans="1:19" ht="21.95" customHeight="1">
      <c r="A355" s="6">
        <v>5352</v>
      </c>
      <c r="B355" s="2" t="s">
        <v>503</v>
      </c>
      <c r="C355" s="6">
        <v>352</v>
      </c>
      <c r="D355" s="7">
        <v>54165.399702160001</v>
      </c>
      <c r="E355" s="2" t="s">
        <v>152</v>
      </c>
      <c r="F355" s="6">
        <v>2002</v>
      </c>
      <c r="G355" s="6">
        <v>5</v>
      </c>
      <c r="H355" s="7">
        <v>30</v>
      </c>
      <c r="I355" s="6">
        <v>5</v>
      </c>
      <c r="J355" s="6">
        <v>2</v>
      </c>
      <c r="K355" s="6">
        <v>1</v>
      </c>
      <c r="L355" s="6">
        <v>15</v>
      </c>
      <c r="M355" s="6">
        <v>139830</v>
      </c>
      <c r="N355" s="6">
        <v>2796600</v>
      </c>
      <c r="O355" s="6">
        <v>40</v>
      </c>
      <c r="P355" s="7">
        <v>2143.3846400000002</v>
      </c>
      <c r="Q355" s="7">
        <v>9012.9815999999992</v>
      </c>
      <c r="R355" s="9">
        <f>D355*VLOOKUP(1001,적!$A$4:$D$13,3,FALSE)</f>
        <v>108330.79940432</v>
      </c>
      <c r="S355" s="9">
        <f>D355*VLOOKUP(F355,보스!$A$4:$E$5,4,FALSE)</f>
        <v>3899908.7785555199</v>
      </c>
    </row>
    <row r="356" spans="1:19" ht="21.95" customHeight="1">
      <c r="A356" s="6">
        <v>5353</v>
      </c>
      <c r="B356" s="2" t="s">
        <v>504</v>
      </c>
      <c r="C356" s="6">
        <v>353</v>
      </c>
      <c r="D356" s="7">
        <v>54533.199705599996</v>
      </c>
      <c r="E356" s="2" t="s">
        <v>152</v>
      </c>
      <c r="F356" s="6">
        <v>2001</v>
      </c>
      <c r="G356" s="6">
        <v>5</v>
      </c>
      <c r="H356" s="7">
        <v>30</v>
      </c>
      <c r="I356" s="6">
        <v>5</v>
      </c>
      <c r="J356" s="6">
        <v>2</v>
      </c>
      <c r="K356" s="6">
        <v>1</v>
      </c>
      <c r="L356" s="6">
        <v>15</v>
      </c>
      <c r="M356" s="6">
        <v>140237</v>
      </c>
      <c r="N356" s="6">
        <v>2804740</v>
      </c>
      <c r="O356" s="6">
        <v>40</v>
      </c>
      <c r="P356" s="7">
        <v>2153.82492</v>
      </c>
      <c r="Q356" s="7">
        <v>9056.8803000000007</v>
      </c>
      <c r="R356" s="9">
        <f>D356*VLOOKUP(1001,적!$A$4:$D$13,3,FALSE)</f>
        <v>109066.39941119999</v>
      </c>
      <c r="S356" s="9">
        <f>D356*VLOOKUP(F356,보스!$A$4:$E$5,4,FALSE)</f>
        <v>3926390.3788031996</v>
      </c>
    </row>
    <row r="357" spans="1:19" ht="21.95" customHeight="1">
      <c r="A357" s="6">
        <v>5354</v>
      </c>
      <c r="B357" s="2" t="s">
        <v>505</v>
      </c>
      <c r="C357" s="6">
        <v>354</v>
      </c>
      <c r="D357" s="7">
        <v>54902.843582720001</v>
      </c>
      <c r="E357" s="2" t="s">
        <v>152</v>
      </c>
      <c r="F357" s="6">
        <v>2002</v>
      </c>
      <c r="G357" s="6">
        <v>5</v>
      </c>
      <c r="H357" s="7">
        <v>30</v>
      </c>
      <c r="I357" s="6">
        <v>5</v>
      </c>
      <c r="J357" s="6">
        <v>2</v>
      </c>
      <c r="K357" s="6">
        <v>1</v>
      </c>
      <c r="L357" s="6">
        <v>15</v>
      </c>
      <c r="M357" s="6">
        <v>140644</v>
      </c>
      <c r="N357" s="6">
        <v>2812880</v>
      </c>
      <c r="O357" s="6">
        <v>40</v>
      </c>
      <c r="P357" s="7">
        <v>2164.2898399999999</v>
      </c>
      <c r="Q357" s="7">
        <v>9100.8826000000008</v>
      </c>
      <c r="R357" s="9">
        <f>D357*VLOOKUP(1001,적!$A$4:$D$13,3,FALSE)</f>
        <v>109805.68716544</v>
      </c>
      <c r="S357" s="9">
        <f>D357*VLOOKUP(F357,보스!$A$4:$E$5,4,FALSE)</f>
        <v>3953004.7379558403</v>
      </c>
    </row>
    <row r="358" spans="1:19" ht="21.95" customHeight="1">
      <c r="A358" s="6">
        <v>5355</v>
      </c>
      <c r="B358" s="2" t="s">
        <v>506</v>
      </c>
      <c r="C358" s="6">
        <v>355</v>
      </c>
      <c r="D358" s="7">
        <v>55274.3382232</v>
      </c>
      <c r="E358" s="2" t="s">
        <v>152</v>
      </c>
      <c r="F358" s="6">
        <v>2001</v>
      </c>
      <c r="G358" s="6">
        <v>5</v>
      </c>
      <c r="H358" s="7">
        <v>30</v>
      </c>
      <c r="I358" s="6">
        <v>5</v>
      </c>
      <c r="J358" s="6">
        <v>2</v>
      </c>
      <c r="K358" s="6">
        <v>1</v>
      </c>
      <c r="L358" s="6">
        <v>15</v>
      </c>
      <c r="M358" s="6">
        <v>141052</v>
      </c>
      <c r="N358" s="6">
        <v>2821040</v>
      </c>
      <c r="O358" s="6">
        <v>40</v>
      </c>
      <c r="P358" s="7">
        <v>2174.7793999999999</v>
      </c>
      <c r="Q358" s="7">
        <v>9144.9884999999995</v>
      </c>
      <c r="R358" s="9">
        <f>D358*VLOOKUP(1001,적!$A$4:$D$13,3,FALSE)</f>
        <v>110548.6764464</v>
      </c>
      <c r="S358" s="9">
        <f>D358*VLOOKUP(F358,보스!$A$4:$E$5,4,FALSE)</f>
        <v>3979752.3520704</v>
      </c>
    </row>
    <row r="359" spans="1:19" ht="21.95" customHeight="1">
      <c r="A359" s="6">
        <v>5356</v>
      </c>
      <c r="B359" s="2" t="s">
        <v>507</v>
      </c>
      <c r="C359" s="6">
        <v>356</v>
      </c>
      <c r="D359" s="7">
        <v>55647.690534000001</v>
      </c>
      <c r="E359" s="2" t="s">
        <v>152</v>
      </c>
      <c r="F359" s="6">
        <v>2002</v>
      </c>
      <c r="G359" s="6">
        <v>5</v>
      </c>
      <c r="H359" s="7">
        <v>30</v>
      </c>
      <c r="I359" s="6">
        <v>5</v>
      </c>
      <c r="J359" s="6">
        <v>2</v>
      </c>
      <c r="K359" s="6">
        <v>1</v>
      </c>
      <c r="L359" s="6">
        <v>15</v>
      </c>
      <c r="M359" s="6">
        <v>141459</v>
      </c>
      <c r="N359" s="6">
        <v>2829180</v>
      </c>
      <c r="O359" s="6">
        <v>40</v>
      </c>
      <c r="P359" s="7">
        <v>2185.2936</v>
      </c>
      <c r="Q359" s="7">
        <v>9189.1980000000003</v>
      </c>
      <c r="R359" s="9">
        <f>D359*VLOOKUP(1001,적!$A$4:$D$13,3,FALSE)</f>
        <v>111295.381068</v>
      </c>
      <c r="S359" s="9">
        <f>D359*VLOOKUP(F359,보스!$A$4:$E$5,4,FALSE)</f>
        <v>4006633.718448</v>
      </c>
    </row>
    <row r="360" spans="1:19" ht="21.95" customHeight="1">
      <c r="A360" s="6">
        <v>5357</v>
      </c>
      <c r="B360" s="2" t="s">
        <v>508</v>
      </c>
      <c r="C360" s="6">
        <v>357</v>
      </c>
      <c r="D360" s="7">
        <v>56022.907439360002</v>
      </c>
      <c r="E360" s="2" t="s">
        <v>152</v>
      </c>
      <c r="F360" s="6">
        <v>2001</v>
      </c>
      <c r="G360" s="6">
        <v>5</v>
      </c>
      <c r="H360" s="7">
        <v>30</v>
      </c>
      <c r="I360" s="6">
        <v>5</v>
      </c>
      <c r="J360" s="6">
        <v>2</v>
      </c>
      <c r="K360" s="6">
        <v>1</v>
      </c>
      <c r="L360" s="6">
        <v>15</v>
      </c>
      <c r="M360" s="6">
        <v>141866</v>
      </c>
      <c r="N360" s="6">
        <v>2837320</v>
      </c>
      <c r="O360" s="6">
        <v>40</v>
      </c>
      <c r="P360" s="7">
        <v>2195.8324400000001</v>
      </c>
      <c r="Q360" s="7">
        <v>9233.5110999999997</v>
      </c>
      <c r="R360" s="9">
        <f>D360*VLOOKUP(1001,적!$A$4:$D$13,3,FALSE)</f>
        <v>112045.81487872</v>
      </c>
      <c r="S360" s="9">
        <f>D360*VLOOKUP(F360,보스!$A$4:$E$5,4,FALSE)</f>
        <v>4033649.33563392</v>
      </c>
    </row>
    <row r="361" spans="1:19" ht="21.95" customHeight="1">
      <c r="A361" s="6">
        <v>5358</v>
      </c>
      <c r="B361" s="2" t="s">
        <v>509</v>
      </c>
      <c r="C361" s="6">
        <v>358</v>
      </c>
      <c r="D361" s="7">
        <v>56399.995880800001</v>
      </c>
      <c r="E361" s="2" t="s">
        <v>152</v>
      </c>
      <c r="F361" s="6">
        <v>2002</v>
      </c>
      <c r="G361" s="6">
        <v>5</v>
      </c>
      <c r="H361" s="7">
        <v>30</v>
      </c>
      <c r="I361" s="6">
        <v>5</v>
      </c>
      <c r="J361" s="6">
        <v>2</v>
      </c>
      <c r="K361" s="6">
        <v>1</v>
      </c>
      <c r="L361" s="6">
        <v>15</v>
      </c>
      <c r="M361" s="6">
        <v>142273</v>
      </c>
      <c r="N361" s="6">
        <v>2845460</v>
      </c>
      <c r="O361" s="6">
        <v>40</v>
      </c>
      <c r="P361" s="7">
        <v>2206.3959199999999</v>
      </c>
      <c r="Q361" s="7">
        <v>9277.9277999999995</v>
      </c>
      <c r="R361" s="9">
        <f>D361*VLOOKUP(1001,적!$A$4:$D$13,3,FALSE)</f>
        <v>112799.9917616</v>
      </c>
      <c r="S361" s="9">
        <f>D361*VLOOKUP(F361,보스!$A$4:$E$5,4,FALSE)</f>
        <v>4060799.7034176001</v>
      </c>
    </row>
    <row r="362" spans="1:19" ht="21.95" customHeight="1">
      <c r="A362" s="6">
        <v>5359</v>
      </c>
      <c r="B362" s="2" t="s">
        <v>510</v>
      </c>
      <c r="C362" s="6">
        <v>359</v>
      </c>
      <c r="D362" s="7">
        <v>56778.962817120002</v>
      </c>
      <c r="E362" s="2" t="s">
        <v>152</v>
      </c>
      <c r="F362" s="6">
        <v>2001</v>
      </c>
      <c r="G362" s="6">
        <v>5</v>
      </c>
      <c r="H362" s="7">
        <v>30</v>
      </c>
      <c r="I362" s="6">
        <v>5</v>
      </c>
      <c r="J362" s="6">
        <v>2</v>
      </c>
      <c r="K362" s="6">
        <v>1</v>
      </c>
      <c r="L362" s="6">
        <v>15</v>
      </c>
      <c r="M362" s="6">
        <v>142681</v>
      </c>
      <c r="N362" s="6">
        <v>2853620</v>
      </c>
      <c r="O362" s="6">
        <v>40</v>
      </c>
      <c r="P362" s="7">
        <v>2216.9840399999998</v>
      </c>
      <c r="Q362" s="7">
        <v>9322.4480999999996</v>
      </c>
      <c r="R362" s="9">
        <f>D362*VLOOKUP(1001,적!$A$4:$D$13,3,FALSE)</f>
        <v>113557.92563424</v>
      </c>
      <c r="S362" s="9">
        <f>D362*VLOOKUP(F362,보스!$A$4:$E$5,4,FALSE)</f>
        <v>4088085.3228326403</v>
      </c>
    </row>
    <row r="363" spans="1:19" ht="21.95" customHeight="1">
      <c r="A363" s="6">
        <v>5360</v>
      </c>
      <c r="B363" s="2" t="s">
        <v>511</v>
      </c>
      <c r="C363" s="6">
        <v>360</v>
      </c>
      <c r="D363" s="7">
        <v>57159.815224400001</v>
      </c>
      <c r="E363" s="2" t="s">
        <v>152</v>
      </c>
      <c r="F363" s="6">
        <v>2002</v>
      </c>
      <c r="G363" s="6">
        <v>5</v>
      </c>
      <c r="H363" s="7">
        <v>30</v>
      </c>
      <c r="I363" s="6">
        <v>5</v>
      </c>
      <c r="J363" s="6">
        <v>2</v>
      </c>
      <c r="K363" s="6">
        <v>1</v>
      </c>
      <c r="L363" s="6">
        <v>15</v>
      </c>
      <c r="M363" s="6">
        <v>143088</v>
      </c>
      <c r="N363" s="6">
        <v>2861760</v>
      </c>
      <c r="O363" s="6">
        <v>41</v>
      </c>
      <c r="P363" s="7">
        <v>2227.5967999999998</v>
      </c>
      <c r="Q363" s="7">
        <v>9367.0720000000001</v>
      </c>
      <c r="R363" s="9">
        <f>D363*VLOOKUP(1001,적!$A$4:$D$13,3,FALSE)</f>
        <v>114319.6304488</v>
      </c>
      <c r="S363" s="9">
        <f>D363*VLOOKUP(F363,보스!$A$4:$E$5,4,FALSE)</f>
        <v>4115506.6961568003</v>
      </c>
    </row>
    <row r="364" spans="1:19" ht="21.95" customHeight="1">
      <c r="A364" s="6">
        <v>5361</v>
      </c>
      <c r="B364" s="2" t="s">
        <v>512</v>
      </c>
      <c r="C364" s="6">
        <v>361</v>
      </c>
      <c r="D364" s="7">
        <v>57542.560096000001</v>
      </c>
      <c r="E364" s="2" t="s">
        <v>152</v>
      </c>
      <c r="F364" s="6">
        <v>2001</v>
      </c>
      <c r="G364" s="6">
        <v>5</v>
      </c>
      <c r="H364" s="7">
        <v>30</v>
      </c>
      <c r="I364" s="6">
        <v>5</v>
      </c>
      <c r="J364" s="6">
        <v>2</v>
      </c>
      <c r="K364" s="6">
        <v>1</v>
      </c>
      <c r="L364" s="6">
        <v>15</v>
      </c>
      <c r="M364" s="6">
        <v>143495</v>
      </c>
      <c r="N364" s="6">
        <v>2869900</v>
      </c>
      <c r="O364" s="6">
        <v>41</v>
      </c>
      <c r="P364" s="7">
        <v>2238.2341999999999</v>
      </c>
      <c r="Q364" s="7">
        <v>9411.7994999999992</v>
      </c>
      <c r="R364" s="9">
        <f>D364*VLOOKUP(1001,적!$A$4:$D$13,3,FALSE)</f>
        <v>115085.120192</v>
      </c>
      <c r="S364" s="9">
        <f>D364*VLOOKUP(F364,보스!$A$4:$E$5,4,FALSE)</f>
        <v>4143064.3269119998</v>
      </c>
    </row>
    <row r="365" spans="1:19" ht="21.95" customHeight="1">
      <c r="A365" s="6">
        <v>5362</v>
      </c>
      <c r="B365" s="2" t="s">
        <v>513</v>
      </c>
      <c r="C365" s="6">
        <v>362</v>
      </c>
      <c r="D365" s="7">
        <v>57927.204442560003</v>
      </c>
      <c r="E365" s="2" t="s">
        <v>152</v>
      </c>
      <c r="F365" s="6">
        <v>2002</v>
      </c>
      <c r="G365" s="6">
        <v>5</v>
      </c>
      <c r="H365" s="7">
        <v>30</v>
      </c>
      <c r="I365" s="6">
        <v>5</v>
      </c>
      <c r="J365" s="6">
        <v>2</v>
      </c>
      <c r="K365" s="6">
        <v>1</v>
      </c>
      <c r="L365" s="6">
        <v>15</v>
      </c>
      <c r="M365" s="6">
        <v>143902</v>
      </c>
      <c r="N365" s="6">
        <v>2878040</v>
      </c>
      <c r="O365" s="6">
        <v>41</v>
      </c>
      <c r="P365" s="7">
        <v>2248.89624</v>
      </c>
      <c r="Q365" s="7">
        <v>9456.6306000000004</v>
      </c>
      <c r="R365" s="9">
        <f>D365*VLOOKUP(1001,적!$A$4:$D$13,3,FALSE)</f>
        <v>115854.40888512001</v>
      </c>
      <c r="S365" s="9">
        <f>D365*VLOOKUP(F365,보스!$A$4:$E$5,4,FALSE)</f>
        <v>4170758.71986432</v>
      </c>
    </row>
    <row r="366" spans="1:19" ht="21.95" customHeight="1">
      <c r="A366" s="6">
        <v>5363</v>
      </c>
      <c r="B366" s="2" t="s">
        <v>514</v>
      </c>
      <c r="C366" s="6">
        <v>363</v>
      </c>
      <c r="D366" s="7">
        <v>58313.755292000002</v>
      </c>
      <c r="E366" s="2" t="s">
        <v>152</v>
      </c>
      <c r="F366" s="6">
        <v>2001</v>
      </c>
      <c r="G366" s="6">
        <v>5</v>
      </c>
      <c r="H366" s="7">
        <v>30</v>
      </c>
      <c r="I366" s="6">
        <v>5</v>
      </c>
      <c r="J366" s="6">
        <v>2</v>
      </c>
      <c r="K366" s="6">
        <v>1</v>
      </c>
      <c r="L366" s="6">
        <v>15</v>
      </c>
      <c r="M366" s="6">
        <v>144310</v>
      </c>
      <c r="N366" s="6">
        <v>2886200</v>
      </c>
      <c r="O366" s="6">
        <v>41</v>
      </c>
      <c r="P366" s="7">
        <v>2259.5829199999998</v>
      </c>
      <c r="Q366" s="7">
        <v>9501.5653000000002</v>
      </c>
      <c r="R366" s="9">
        <f>D366*VLOOKUP(1001,적!$A$4:$D$13,3,FALSE)</f>
        <v>116627.510584</v>
      </c>
      <c r="S366" s="9">
        <f>D366*VLOOKUP(F366,보스!$A$4:$E$5,4,FALSE)</f>
        <v>4198590.3810240002</v>
      </c>
    </row>
    <row r="367" spans="1:19" ht="21.95" customHeight="1">
      <c r="A367" s="6">
        <v>5364</v>
      </c>
      <c r="B367" s="2" t="s">
        <v>515</v>
      </c>
      <c r="C367" s="6">
        <v>364</v>
      </c>
      <c r="D367" s="7">
        <v>58702.219689520003</v>
      </c>
      <c r="E367" s="2" t="s">
        <v>152</v>
      </c>
      <c r="F367" s="6">
        <v>2002</v>
      </c>
      <c r="G367" s="6">
        <v>5</v>
      </c>
      <c r="H367" s="7">
        <v>30</v>
      </c>
      <c r="I367" s="6">
        <v>5</v>
      </c>
      <c r="J367" s="6">
        <v>2</v>
      </c>
      <c r="K367" s="6">
        <v>1</v>
      </c>
      <c r="L367" s="6">
        <v>15</v>
      </c>
      <c r="M367" s="6">
        <v>144717</v>
      </c>
      <c r="N367" s="6">
        <v>2894340</v>
      </c>
      <c r="O367" s="6">
        <v>41</v>
      </c>
      <c r="P367" s="7">
        <v>2270.2942400000002</v>
      </c>
      <c r="Q367" s="7">
        <v>9546.6036000000004</v>
      </c>
      <c r="R367" s="9">
        <f>D367*VLOOKUP(1001,적!$A$4:$D$13,3,FALSE)</f>
        <v>117404.43937904001</v>
      </c>
      <c r="S367" s="9">
        <f>D367*VLOOKUP(F367,보스!$A$4:$E$5,4,FALSE)</f>
        <v>4226559.8176454399</v>
      </c>
    </row>
    <row r="368" spans="1:19" ht="21.95" customHeight="1">
      <c r="A368" s="6">
        <v>5365</v>
      </c>
      <c r="B368" s="2" t="s">
        <v>516</v>
      </c>
      <c r="C368" s="6">
        <v>365</v>
      </c>
      <c r="D368" s="7">
        <v>59092.6046976</v>
      </c>
      <c r="E368" s="2" t="s">
        <v>152</v>
      </c>
      <c r="F368" s="6">
        <v>2001</v>
      </c>
      <c r="G368" s="6">
        <v>5</v>
      </c>
      <c r="H368" s="7">
        <v>30</v>
      </c>
      <c r="I368" s="6">
        <v>5</v>
      </c>
      <c r="J368" s="6">
        <v>2</v>
      </c>
      <c r="K368" s="6">
        <v>1</v>
      </c>
      <c r="L368" s="6">
        <v>15</v>
      </c>
      <c r="M368" s="6">
        <v>145124</v>
      </c>
      <c r="N368" s="6">
        <v>2902480</v>
      </c>
      <c r="O368" s="6">
        <v>41</v>
      </c>
      <c r="P368" s="7">
        <v>2281.0302000000001</v>
      </c>
      <c r="Q368" s="7">
        <v>9591.7455000000009</v>
      </c>
      <c r="R368" s="9">
        <f>D368*VLOOKUP(1001,적!$A$4:$D$13,3,FALSE)</f>
        <v>118185.2093952</v>
      </c>
      <c r="S368" s="9">
        <f>D368*VLOOKUP(F368,보스!$A$4:$E$5,4,FALSE)</f>
        <v>4254667.5382271996</v>
      </c>
    </row>
    <row r="369" spans="1:19" ht="21.95" customHeight="1">
      <c r="A369" s="6">
        <v>5366</v>
      </c>
      <c r="B369" s="2" t="s">
        <v>517</v>
      </c>
      <c r="C369" s="6">
        <v>366</v>
      </c>
      <c r="D369" s="7">
        <v>59484.917395999997</v>
      </c>
      <c r="E369" s="2" t="s">
        <v>152</v>
      </c>
      <c r="F369" s="6">
        <v>2002</v>
      </c>
      <c r="G369" s="6">
        <v>5</v>
      </c>
      <c r="H369" s="7">
        <v>30</v>
      </c>
      <c r="I369" s="6">
        <v>5</v>
      </c>
      <c r="J369" s="6">
        <v>2</v>
      </c>
      <c r="K369" s="6">
        <v>1</v>
      </c>
      <c r="L369" s="6">
        <v>15</v>
      </c>
      <c r="M369" s="6">
        <v>145531</v>
      </c>
      <c r="N369" s="6">
        <v>2910620</v>
      </c>
      <c r="O369" s="6">
        <v>41</v>
      </c>
      <c r="P369" s="7">
        <v>2291.7908000000002</v>
      </c>
      <c r="Q369" s="7">
        <v>9636.991</v>
      </c>
      <c r="R369" s="9">
        <f>D369*VLOOKUP(1001,적!$A$4:$D$13,3,FALSE)</f>
        <v>118969.83479199999</v>
      </c>
      <c r="S369" s="9">
        <f>D369*VLOOKUP(F369,보스!$A$4:$E$5,4,FALSE)</f>
        <v>4282914.0525119994</v>
      </c>
    </row>
    <row r="370" spans="1:19" ht="21.95" customHeight="1">
      <c r="A370" s="6">
        <v>5367</v>
      </c>
      <c r="B370" s="2" t="s">
        <v>518</v>
      </c>
      <c r="C370" s="6">
        <v>367</v>
      </c>
      <c r="D370" s="7">
        <v>59879.16488176</v>
      </c>
      <c r="E370" s="2" t="s">
        <v>152</v>
      </c>
      <c r="F370" s="6">
        <v>2001</v>
      </c>
      <c r="G370" s="6">
        <v>5</v>
      </c>
      <c r="H370" s="7">
        <v>30</v>
      </c>
      <c r="I370" s="6">
        <v>5</v>
      </c>
      <c r="J370" s="6">
        <v>2</v>
      </c>
      <c r="K370" s="6">
        <v>1</v>
      </c>
      <c r="L370" s="6">
        <v>15</v>
      </c>
      <c r="M370" s="6">
        <v>145938</v>
      </c>
      <c r="N370" s="6">
        <v>2918760</v>
      </c>
      <c r="O370" s="6">
        <v>41</v>
      </c>
      <c r="P370" s="7">
        <v>2302.5760399999999</v>
      </c>
      <c r="Q370" s="7">
        <v>9682.3400999999994</v>
      </c>
      <c r="R370" s="9">
        <f>D370*VLOOKUP(1001,적!$A$4:$D$13,3,FALSE)</f>
        <v>119758.32976352</v>
      </c>
      <c r="S370" s="9">
        <f>D370*VLOOKUP(F370,보스!$A$4:$E$5,4,FALSE)</f>
        <v>4311299.8714867197</v>
      </c>
    </row>
    <row r="371" spans="1:19" ht="21.95" customHeight="1">
      <c r="A371" s="6">
        <v>5368</v>
      </c>
      <c r="B371" s="2" t="s">
        <v>519</v>
      </c>
      <c r="C371" s="6">
        <v>368</v>
      </c>
      <c r="D371" s="7">
        <v>60275.354269199997</v>
      </c>
      <c r="E371" s="2" t="s">
        <v>152</v>
      </c>
      <c r="F371" s="6">
        <v>2002</v>
      </c>
      <c r="G371" s="6">
        <v>5</v>
      </c>
      <c r="H371" s="7">
        <v>30</v>
      </c>
      <c r="I371" s="6">
        <v>5</v>
      </c>
      <c r="J371" s="6">
        <v>2</v>
      </c>
      <c r="K371" s="6">
        <v>1</v>
      </c>
      <c r="L371" s="6">
        <v>15</v>
      </c>
      <c r="M371" s="6">
        <v>146346</v>
      </c>
      <c r="N371" s="6">
        <v>2926920</v>
      </c>
      <c r="O371" s="6">
        <v>41</v>
      </c>
      <c r="P371" s="7">
        <v>2313.3859200000002</v>
      </c>
      <c r="Q371" s="7">
        <v>9727.7927999999993</v>
      </c>
      <c r="R371" s="9">
        <f>D371*VLOOKUP(1001,적!$A$4:$D$13,3,FALSE)</f>
        <v>120550.70853839999</v>
      </c>
      <c r="S371" s="9">
        <f>D371*VLOOKUP(F371,보스!$A$4:$E$5,4,FALSE)</f>
        <v>4339825.5073823994</v>
      </c>
    </row>
    <row r="372" spans="1:19" ht="21.95" customHeight="1">
      <c r="A372" s="6">
        <v>5369</v>
      </c>
      <c r="B372" s="2" t="s">
        <v>520</v>
      </c>
      <c r="C372" s="6">
        <v>369</v>
      </c>
      <c r="D372" s="7">
        <v>60673.49268992</v>
      </c>
      <c r="E372" s="2" t="s">
        <v>152</v>
      </c>
      <c r="F372" s="6">
        <v>2001</v>
      </c>
      <c r="G372" s="6">
        <v>5</v>
      </c>
      <c r="H372" s="7">
        <v>30</v>
      </c>
      <c r="I372" s="6">
        <v>5</v>
      </c>
      <c r="J372" s="6">
        <v>2</v>
      </c>
      <c r="K372" s="6">
        <v>1</v>
      </c>
      <c r="L372" s="6">
        <v>15</v>
      </c>
      <c r="M372" s="6">
        <v>146753</v>
      </c>
      <c r="N372" s="6">
        <v>2935060</v>
      </c>
      <c r="O372" s="6">
        <v>41</v>
      </c>
      <c r="P372" s="7">
        <v>2324.2204400000001</v>
      </c>
      <c r="Q372" s="7">
        <v>9773.3490999999995</v>
      </c>
      <c r="R372" s="9">
        <f>D372*VLOOKUP(1001,적!$A$4:$D$13,3,FALSE)</f>
        <v>121346.98537984</v>
      </c>
      <c r="S372" s="9">
        <f>D372*VLOOKUP(F372,보스!$A$4:$E$5,4,FALSE)</f>
        <v>4368491.4736742396</v>
      </c>
    </row>
    <row r="373" spans="1:19" ht="21.95" customHeight="1">
      <c r="A373" s="6">
        <v>5370</v>
      </c>
      <c r="B373" s="2" t="s">
        <v>521</v>
      </c>
      <c r="C373" s="6">
        <v>370</v>
      </c>
      <c r="D373" s="7">
        <v>61073.587292800003</v>
      </c>
      <c r="E373" s="2" t="s">
        <v>152</v>
      </c>
      <c r="F373" s="6">
        <v>2002</v>
      </c>
      <c r="G373" s="6">
        <v>5</v>
      </c>
      <c r="H373" s="7">
        <v>30</v>
      </c>
      <c r="I373" s="6">
        <v>5</v>
      </c>
      <c r="J373" s="6">
        <v>2</v>
      </c>
      <c r="K373" s="6">
        <v>1</v>
      </c>
      <c r="L373" s="6">
        <v>15</v>
      </c>
      <c r="M373" s="6">
        <v>147160</v>
      </c>
      <c r="N373" s="6">
        <v>2943200</v>
      </c>
      <c r="O373" s="6">
        <v>42</v>
      </c>
      <c r="P373" s="7">
        <v>2335.0796</v>
      </c>
      <c r="Q373" s="7">
        <v>9819.009</v>
      </c>
      <c r="R373" s="9">
        <f>D373*VLOOKUP(1001,적!$A$4:$D$13,3,FALSE)</f>
        <v>122147.17458560001</v>
      </c>
      <c r="S373" s="9">
        <f>D373*VLOOKUP(F373,보스!$A$4:$E$5,4,FALSE)</f>
        <v>4397298.2850815998</v>
      </c>
    </row>
    <row r="374" spans="1:19" ht="21.95" customHeight="1">
      <c r="A374" s="6">
        <v>5371</v>
      </c>
      <c r="B374" s="2" t="s">
        <v>522</v>
      </c>
      <c r="C374" s="6">
        <v>371</v>
      </c>
      <c r="D374" s="7">
        <v>61475.645243999999</v>
      </c>
      <c r="E374" s="2" t="s">
        <v>152</v>
      </c>
      <c r="F374" s="6">
        <v>2001</v>
      </c>
      <c r="G374" s="6">
        <v>5</v>
      </c>
      <c r="H374" s="7">
        <v>30</v>
      </c>
      <c r="I374" s="6">
        <v>5</v>
      </c>
      <c r="J374" s="6">
        <v>2</v>
      </c>
      <c r="K374" s="6">
        <v>1</v>
      </c>
      <c r="L374" s="6">
        <v>15</v>
      </c>
      <c r="M374" s="6">
        <v>147567</v>
      </c>
      <c r="N374" s="6">
        <v>2951340</v>
      </c>
      <c r="O374" s="6">
        <v>42</v>
      </c>
      <c r="P374" s="7">
        <v>2345.9634000000001</v>
      </c>
      <c r="Q374" s="7">
        <v>9864.7724999999991</v>
      </c>
      <c r="R374" s="9">
        <f>D374*VLOOKUP(1001,적!$A$4:$D$13,3,FALSE)</f>
        <v>122951.290488</v>
      </c>
      <c r="S374" s="9">
        <f>D374*VLOOKUP(F374,보스!$A$4:$E$5,4,FALSE)</f>
        <v>4426246.4575680001</v>
      </c>
    </row>
    <row r="375" spans="1:19" ht="21.95" customHeight="1">
      <c r="A375" s="6">
        <v>5372</v>
      </c>
      <c r="B375" s="2" t="s">
        <v>523</v>
      </c>
      <c r="C375" s="6">
        <v>372</v>
      </c>
      <c r="D375" s="7">
        <v>61879.673726959998</v>
      </c>
      <c r="E375" s="2" t="s">
        <v>152</v>
      </c>
      <c r="F375" s="6">
        <v>2002</v>
      </c>
      <c r="G375" s="6">
        <v>5</v>
      </c>
      <c r="H375" s="7">
        <v>30</v>
      </c>
      <c r="I375" s="6">
        <v>5</v>
      </c>
      <c r="J375" s="6">
        <v>2</v>
      </c>
      <c r="K375" s="6">
        <v>1</v>
      </c>
      <c r="L375" s="6">
        <v>15</v>
      </c>
      <c r="M375" s="6">
        <v>147974</v>
      </c>
      <c r="N375" s="6">
        <v>2959480</v>
      </c>
      <c r="O375" s="6">
        <v>42</v>
      </c>
      <c r="P375" s="7">
        <v>2356.8718399999998</v>
      </c>
      <c r="Q375" s="7">
        <v>9910.6396000000004</v>
      </c>
      <c r="R375" s="9">
        <f>D375*VLOOKUP(1001,적!$A$4:$D$13,3,FALSE)</f>
        <v>123759.34745392</v>
      </c>
      <c r="S375" s="9">
        <f>D375*VLOOKUP(F375,보스!$A$4:$E$5,4,FALSE)</f>
        <v>4455336.5083411196</v>
      </c>
    </row>
    <row r="376" spans="1:19" ht="21.95" customHeight="1">
      <c r="A376" s="6">
        <v>5373</v>
      </c>
      <c r="B376" s="2" t="s">
        <v>524</v>
      </c>
      <c r="C376" s="6">
        <v>373</v>
      </c>
      <c r="D376" s="7">
        <v>62285.679942399998</v>
      </c>
      <c r="E376" s="2" t="s">
        <v>152</v>
      </c>
      <c r="F376" s="6">
        <v>2001</v>
      </c>
      <c r="G376" s="6">
        <v>5</v>
      </c>
      <c r="H376" s="7">
        <v>30</v>
      </c>
      <c r="I376" s="6">
        <v>5</v>
      </c>
      <c r="J376" s="6">
        <v>2</v>
      </c>
      <c r="K376" s="6">
        <v>1</v>
      </c>
      <c r="L376" s="6">
        <v>15</v>
      </c>
      <c r="M376" s="6">
        <v>148381</v>
      </c>
      <c r="N376" s="6">
        <v>2967620</v>
      </c>
      <c r="O376" s="6">
        <v>42</v>
      </c>
      <c r="P376" s="7">
        <v>2367.80492</v>
      </c>
      <c r="Q376" s="7">
        <v>9956.6103000000003</v>
      </c>
      <c r="R376" s="9">
        <f>D376*VLOOKUP(1001,적!$A$4:$D$13,3,FALSE)</f>
        <v>124571.3598848</v>
      </c>
      <c r="S376" s="9">
        <f>D376*VLOOKUP(F376,보스!$A$4:$E$5,4,FALSE)</f>
        <v>4484568.9558528</v>
      </c>
    </row>
    <row r="377" spans="1:19" ht="21.95" customHeight="1">
      <c r="A377" s="6">
        <v>5374</v>
      </c>
      <c r="B377" s="2" t="s">
        <v>525</v>
      </c>
      <c r="C377" s="6">
        <v>374</v>
      </c>
      <c r="D377" s="7">
        <v>62693.671108319999</v>
      </c>
      <c r="E377" s="2" t="s">
        <v>152</v>
      </c>
      <c r="F377" s="6">
        <v>2002</v>
      </c>
      <c r="G377" s="6">
        <v>5</v>
      </c>
      <c r="H377" s="7">
        <v>30</v>
      </c>
      <c r="I377" s="6">
        <v>5</v>
      </c>
      <c r="J377" s="6">
        <v>2</v>
      </c>
      <c r="K377" s="6">
        <v>1</v>
      </c>
      <c r="L377" s="6">
        <v>15</v>
      </c>
      <c r="M377" s="6">
        <v>148788</v>
      </c>
      <c r="N377" s="6">
        <v>2975760</v>
      </c>
      <c r="O377" s="6">
        <v>42</v>
      </c>
      <c r="P377" s="7">
        <v>2378.7626399999999</v>
      </c>
      <c r="Q377" s="7">
        <v>10002.684600000001</v>
      </c>
      <c r="R377" s="9">
        <f>D377*VLOOKUP(1001,적!$A$4:$D$13,3,FALSE)</f>
        <v>125387.34221664</v>
      </c>
      <c r="S377" s="9">
        <f>D377*VLOOKUP(F377,보스!$A$4:$E$5,4,FALSE)</f>
        <v>4513944.3197990395</v>
      </c>
    </row>
    <row r="378" spans="1:19" ht="21.95" customHeight="1">
      <c r="A378" s="6">
        <v>5375</v>
      </c>
      <c r="B378" s="2" t="s">
        <v>526</v>
      </c>
      <c r="C378" s="6">
        <v>375</v>
      </c>
      <c r="D378" s="7">
        <v>63103.654459999998</v>
      </c>
      <c r="E378" s="2" t="s">
        <v>152</v>
      </c>
      <c r="F378" s="6">
        <v>2001</v>
      </c>
      <c r="G378" s="6">
        <v>5</v>
      </c>
      <c r="H378" s="7">
        <v>30</v>
      </c>
      <c r="I378" s="6">
        <v>5</v>
      </c>
      <c r="J378" s="6">
        <v>2</v>
      </c>
      <c r="K378" s="6">
        <v>1</v>
      </c>
      <c r="L378" s="6">
        <v>15</v>
      </c>
      <c r="M378" s="6">
        <v>149196</v>
      </c>
      <c r="N378" s="6">
        <v>2983920</v>
      </c>
      <c r="O378" s="6">
        <v>42</v>
      </c>
      <c r="P378" s="7">
        <v>2389.7449999999999</v>
      </c>
      <c r="Q378" s="7">
        <v>10048.862499999999</v>
      </c>
      <c r="R378" s="9">
        <f>D378*VLOOKUP(1001,적!$A$4:$D$13,3,FALSE)</f>
        <v>126207.30892</v>
      </c>
      <c r="S378" s="9">
        <f>D378*VLOOKUP(F378,보스!$A$4:$E$5,4,FALSE)</f>
        <v>4543463.1211200003</v>
      </c>
    </row>
    <row r="379" spans="1:19" ht="21.95" customHeight="1">
      <c r="A379" s="6">
        <v>5376</v>
      </c>
      <c r="B379" s="2" t="s">
        <v>527</v>
      </c>
      <c r="C379" s="6">
        <v>376</v>
      </c>
      <c r="D379" s="7">
        <v>63515.63725</v>
      </c>
      <c r="E379" s="2" t="s">
        <v>152</v>
      </c>
      <c r="F379" s="6">
        <v>2002</v>
      </c>
      <c r="G379" s="6">
        <v>5</v>
      </c>
      <c r="H379" s="7">
        <v>30</v>
      </c>
      <c r="I379" s="6">
        <v>5</v>
      </c>
      <c r="J379" s="6">
        <v>2</v>
      </c>
      <c r="K379" s="6">
        <v>1</v>
      </c>
      <c r="L379" s="6">
        <v>15</v>
      </c>
      <c r="M379" s="6">
        <v>149603</v>
      </c>
      <c r="N379" s="6">
        <v>2992060</v>
      </c>
      <c r="O379" s="6">
        <v>42</v>
      </c>
      <c r="P379" s="7">
        <v>2400.752</v>
      </c>
      <c r="Q379" s="7">
        <v>10095.144</v>
      </c>
      <c r="R379" s="9">
        <f>D379*VLOOKUP(1001,적!$A$4:$D$13,3,FALSE)</f>
        <v>127031.2745</v>
      </c>
      <c r="S379" s="9">
        <f>D379*VLOOKUP(F379,보스!$A$4:$E$5,4,FALSE)</f>
        <v>4573125.8820000002</v>
      </c>
    </row>
    <row r="380" spans="1:19" ht="21.95" customHeight="1">
      <c r="A380" s="6">
        <v>5377</v>
      </c>
      <c r="B380" s="2" t="s">
        <v>528</v>
      </c>
      <c r="C380" s="6">
        <v>377</v>
      </c>
      <c r="D380" s="7">
        <v>63929.626748160001</v>
      </c>
      <c r="E380" s="2" t="s">
        <v>152</v>
      </c>
      <c r="F380" s="6">
        <v>2001</v>
      </c>
      <c r="G380" s="6">
        <v>5</v>
      </c>
      <c r="H380" s="7">
        <v>30</v>
      </c>
      <c r="I380" s="6">
        <v>5</v>
      </c>
      <c r="J380" s="6">
        <v>2</v>
      </c>
      <c r="K380" s="6">
        <v>1</v>
      </c>
      <c r="L380" s="6">
        <v>15</v>
      </c>
      <c r="M380" s="6">
        <v>150010</v>
      </c>
      <c r="N380" s="6">
        <v>3000200</v>
      </c>
      <c r="O380" s="6">
        <v>42</v>
      </c>
      <c r="P380" s="7">
        <v>2411.7836400000001</v>
      </c>
      <c r="Q380" s="7">
        <v>10141.5291</v>
      </c>
      <c r="R380" s="9">
        <f>D380*VLOOKUP(1001,적!$A$4:$D$13,3,FALSE)</f>
        <v>127859.25349632</v>
      </c>
      <c r="S380" s="9">
        <f>D380*VLOOKUP(F380,보스!$A$4:$E$5,4,FALSE)</f>
        <v>4602933.1258675205</v>
      </c>
    </row>
    <row r="381" spans="1:19" ht="21.95" customHeight="1">
      <c r="A381" s="6">
        <v>5378</v>
      </c>
      <c r="B381" s="2" t="s">
        <v>529</v>
      </c>
      <c r="C381" s="6">
        <v>378</v>
      </c>
      <c r="D381" s="7">
        <v>64345.630241600004</v>
      </c>
      <c r="E381" s="2" t="s">
        <v>152</v>
      </c>
      <c r="F381" s="6">
        <v>2002</v>
      </c>
      <c r="G381" s="6">
        <v>5</v>
      </c>
      <c r="H381" s="7">
        <v>30</v>
      </c>
      <c r="I381" s="6">
        <v>5</v>
      </c>
      <c r="J381" s="6">
        <v>2</v>
      </c>
      <c r="K381" s="6">
        <v>1</v>
      </c>
      <c r="L381" s="6">
        <v>15</v>
      </c>
      <c r="M381" s="6">
        <v>150417</v>
      </c>
      <c r="N381" s="6">
        <v>3008340</v>
      </c>
      <c r="O381" s="6">
        <v>42</v>
      </c>
      <c r="P381" s="7">
        <v>2422.8399199999999</v>
      </c>
      <c r="Q381" s="7">
        <v>10188.0178</v>
      </c>
      <c r="R381" s="9">
        <f>D381*VLOOKUP(1001,적!$A$4:$D$13,3,FALSE)</f>
        <v>128691.26048320001</v>
      </c>
      <c r="S381" s="9">
        <f>D381*VLOOKUP(F381,보스!$A$4:$E$5,4,FALSE)</f>
        <v>4632885.3773952005</v>
      </c>
    </row>
    <row r="382" spans="1:19" ht="21.95" customHeight="1">
      <c r="A382" s="6">
        <v>5379</v>
      </c>
      <c r="B382" s="2" t="s">
        <v>530</v>
      </c>
      <c r="C382" s="6">
        <v>379</v>
      </c>
      <c r="D382" s="7">
        <v>64763.655034720003</v>
      </c>
      <c r="E382" s="2" t="s">
        <v>152</v>
      </c>
      <c r="F382" s="6">
        <v>2001</v>
      </c>
      <c r="G382" s="6">
        <v>5</v>
      </c>
      <c r="H382" s="7">
        <v>30</v>
      </c>
      <c r="I382" s="6">
        <v>5</v>
      </c>
      <c r="J382" s="6">
        <v>2</v>
      </c>
      <c r="K382" s="6">
        <v>1</v>
      </c>
      <c r="L382" s="6">
        <v>15</v>
      </c>
      <c r="M382" s="6">
        <v>150824</v>
      </c>
      <c r="N382" s="6">
        <v>3016480</v>
      </c>
      <c r="O382" s="6">
        <v>42</v>
      </c>
      <c r="P382" s="7">
        <v>2433.9208400000002</v>
      </c>
      <c r="Q382" s="7">
        <v>10234.6101</v>
      </c>
      <c r="R382" s="9">
        <f>D382*VLOOKUP(1001,적!$A$4:$D$13,3,FALSE)</f>
        <v>129527.31006944001</v>
      </c>
      <c r="S382" s="9">
        <f>D382*VLOOKUP(F382,보스!$A$4:$E$5,4,FALSE)</f>
        <v>4662983.1624998404</v>
      </c>
    </row>
    <row r="383" spans="1:19" ht="21.95" customHeight="1">
      <c r="A383" s="6">
        <v>5380</v>
      </c>
      <c r="B383" s="2" t="s">
        <v>531</v>
      </c>
      <c r="C383" s="6">
        <v>380</v>
      </c>
      <c r="D383" s="7">
        <v>65183.708449199999</v>
      </c>
      <c r="E383" s="2" t="s">
        <v>152</v>
      </c>
      <c r="F383" s="6">
        <v>2002</v>
      </c>
      <c r="G383" s="6">
        <v>5</v>
      </c>
      <c r="H383" s="7">
        <v>30</v>
      </c>
      <c r="I383" s="6">
        <v>5</v>
      </c>
      <c r="J383" s="6">
        <v>2</v>
      </c>
      <c r="K383" s="6">
        <v>1</v>
      </c>
      <c r="L383" s="6">
        <v>15</v>
      </c>
      <c r="M383" s="6">
        <v>151231</v>
      </c>
      <c r="N383" s="6">
        <v>3024620</v>
      </c>
      <c r="O383" s="6">
        <v>43</v>
      </c>
      <c r="P383" s="7">
        <v>2445.0264000000002</v>
      </c>
      <c r="Q383" s="7">
        <v>10281.306</v>
      </c>
      <c r="R383" s="9">
        <f>D383*VLOOKUP(1001,적!$A$4:$D$13,3,FALSE)</f>
        <v>130367.4168984</v>
      </c>
      <c r="S383" s="9">
        <f>D383*VLOOKUP(F383,보스!$A$4:$E$5,4,FALSE)</f>
        <v>4693227.0083424002</v>
      </c>
    </row>
    <row r="384" spans="1:19" ht="21.95" customHeight="1">
      <c r="A384" s="6">
        <v>5381</v>
      </c>
      <c r="B384" s="2" t="s">
        <v>532</v>
      </c>
      <c r="C384" s="6">
        <v>381</v>
      </c>
      <c r="D384" s="7">
        <v>65605.797823999994</v>
      </c>
      <c r="E384" s="2" t="s">
        <v>152</v>
      </c>
      <c r="F384" s="6">
        <v>2001</v>
      </c>
      <c r="G384" s="6">
        <v>5</v>
      </c>
      <c r="H384" s="7">
        <v>30</v>
      </c>
      <c r="I384" s="6">
        <v>5</v>
      </c>
      <c r="J384" s="6">
        <v>2</v>
      </c>
      <c r="K384" s="6">
        <v>1</v>
      </c>
      <c r="L384" s="6">
        <v>15</v>
      </c>
      <c r="M384" s="6">
        <v>151638</v>
      </c>
      <c r="N384" s="6">
        <v>3032760</v>
      </c>
      <c r="O384" s="6">
        <v>43</v>
      </c>
      <c r="P384" s="7">
        <v>2456.1565999999998</v>
      </c>
      <c r="Q384" s="7">
        <v>10328.1055</v>
      </c>
      <c r="R384" s="9">
        <f>D384*VLOOKUP(1001,적!$A$4:$D$13,3,FALSE)</f>
        <v>131211.59564799999</v>
      </c>
      <c r="S384" s="9">
        <f>D384*VLOOKUP(F384,보스!$A$4:$E$5,4,FALSE)</f>
        <v>4723617.4433279997</v>
      </c>
    </row>
    <row r="385" spans="1:19" ht="21.95" customHeight="1">
      <c r="A385" s="6">
        <v>5382</v>
      </c>
      <c r="B385" s="2" t="s">
        <v>533</v>
      </c>
      <c r="C385" s="6">
        <v>382</v>
      </c>
      <c r="D385" s="7">
        <v>66029.93051536</v>
      </c>
      <c r="E385" s="2" t="s">
        <v>152</v>
      </c>
      <c r="F385" s="6">
        <v>2002</v>
      </c>
      <c r="G385" s="6">
        <v>5</v>
      </c>
      <c r="H385" s="7">
        <v>30</v>
      </c>
      <c r="I385" s="6">
        <v>5</v>
      </c>
      <c r="J385" s="6">
        <v>2</v>
      </c>
      <c r="K385" s="6">
        <v>1</v>
      </c>
      <c r="L385" s="6">
        <v>15</v>
      </c>
      <c r="M385" s="6">
        <v>152045</v>
      </c>
      <c r="N385" s="6">
        <v>3040900</v>
      </c>
      <c r="O385" s="6">
        <v>43</v>
      </c>
      <c r="P385" s="7">
        <v>2467.3114399999999</v>
      </c>
      <c r="Q385" s="7">
        <v>10375.008599999999</v>
      </c>
      <c r="R385" s="9">
        <f>D385*VLOOKUP(1001,적!$A$4:$D$13,3,FALSE)</f>
        <v>132059.86103072</v>
      </c>
      <c r="S385" s="9">
        <f>D385*VLOOKUP(F385,보스!$A$4:$E$5,4,FALSE)</f>
        <v>4754154.9971059198</v>
      </c>
    </row>
    <row r="386" spans="1:19" ht="21.95" customHeight="1">
      <c r="A386" s="6">
        <v>5383</v>
      </c>
      <c r="B386" s="2" t="s">
        <v>534</v>
      </c>
      <c r="C386" s="6">
        <v>383</v>
      </c>
      <c r="D386" s="7">
        <v>66456.113896800001</v>
      </c>
      <c r="E386" s="2" t="s">
        <v>152</v>
      </c>
      <c r="F386" s="6">
        <v>2001</v>
      </c>
      <c r="G386" s="6">
        <v>5</v>
      </c>
      <c r="H386" s="7">
        <v>30</v>
      </c>
      <c r="I386" s="6">
        <v>5</v>
      </c>
      <c r="J386" s="6">
        <v>2</v>
      </c>
      <c r="K386" s="6">
        <v>1</v>
      </c>
      <c r="L386" s="6">
        <v>15</v>
      </c>
      <c r="M386" s="6">
        <v>152452</v>
      </c>
      <c r="N386" s="6">
        <v>3049040</v>
      </c>
      <c r="O386" s="6">
        <v>43</v>
      </c>
      <c r="P386" s="7">
        <v>2478.4909200000002</v>
      </c>
      <c r="Q386" s="7">
        <v>10422.015299999999</v>
      </c>
      <c r="R386" s="9">
        <f>D386*VLOOKUP(1001,적!$A$4:$D$13,3,FALSE)</f>
        <v>132912.2277936</v>
      </c>
      <c r="S386" s="9">
        <f>D386*VLOOKUP(F386,보스!$A$4:$E$5,4,FALSE)</f>
        <v>4784840.2005695999</v>
      </c>
    </row>
    <row r="387" spans="1:19" ht="21.95" customHeight="1">
      <c r="A387" s="6">
        <v>5384</v>
      </c>
      <c r="B387" s="2" t="s">
        <v>535</v>
      </c>
      <c r="C387" s="6">
        <v>384</v>
      </c>
      <c r="D387" s="7">
        <v>66884.355359120003</v>
      </c>
      <c r="E387" s="2" t="s">
        <v>152</v>
      </c>
      <c r="F387" s="6">
        <v>2002</v>
      </c>
      <c r="G387" s="6">
        <v>5</v>
      </c>
      <c r="H387" s="7">
        <v>30</v>
      </c>
      <c r="I387" s="6">
        <v>5</v>
      </c>
      <c r="J387" s="6">
        <v>2</v>
      </c>
      <c r="K387" s="6">
        <v>1</v>
      </c>
      <c r="L387" s="6">
        <v>15</v>
      </c>
      <c r="M387" s="6">
        <v>152859</v>
      </c>
      <c r="N387" s="6">
        <v>3057180</v>
      </c>
      <c r="O387" s="6">
        <v>43</v>
      </c>
      <c r="P387" s="7">
        <v>2489.6950400000001</v>
      </c>
      <c r="Q387" s="7">
        <v>10469.125599999999</v>
      </c>
      <c r="R387" s="9">
        <f>D387*VLOOKUP(1001,적!$A$4:$D$13,3,FALSE)</f>
        <v>133768.71071824001</v>
      </c>
      <c r="S387" s="9">
        <f>D387*VLOOKUP(F387,보스!$A$4:$E$5,4,FALSE)</f>
        <v>4815673.5858566407</v>
      </c>
    </row>
    <row r="388" spans="1:19" ht="21.95" customHeight="1">
      <c r="A388" s="6">
        <v>5385</v>
      </c>
      <c r="B388" s="2" t="s">
        <v>536</v>
      </c>
      <c r="C388" s="6">
        <v>385</v>
      </c>
      <c r="D388" s="7">
        <v>67314.662310400003</v>
      </c>
      <c r="E388" s="2" t="s">
        <v>152</v>
      </c>
      <c r="F388" s="6">
        <v>2001</v>
      </c>
      <c r="G388" s="6">
        <v>5</v>
      </c>
      <c r="H388" s="7">
        <v>30</v>
      </c>
      <c r="I388" s="6">
        <v>5</v>
      </c>
      <c r="J388" s="6">
        <v>2</v>
      </c>
      <c r="K388" s="6">
        <v>1</v>
      </c>
      <c r="L388" s="6">
        <v>15</v>
      </c>
      <c r="M388" s="6">
        <v>153266</v>
      </c>
      <c r="N388" s="6">
        <v>3065320</v>
      </c>
      <c r="O388" s="6">
        <v>43</v>
      </c>
      <c r="P388" s="7">
        <v>2500.9238</v>
      </c>
      <c r="Q388" s="7">
        <v>10516.3395</v>
      </c>
      <c r="R388" s="9">
        <f>D388*VLOOKUP(1001,적!$A$4:$D$13,3,FALSE)</f>
        <v>134629.32462080001</v>
      </c>
      <c r="S388" s="9">
        <f>D388*VLOOKUP(F388,보스!$A$4:$E$5,4,FALSE)</f>
        <v>4846655.6863488005</v>
      </c>
    </row>
    <row r="389" spans="1:19" ht="21.95" customHeight="1">
      <c r="A389" s="6">
        <v>5386</v>
      </c>
      <c r="B389" s="2" t="s">
        <v>537</v>
      </c>
      <c r="C389" s="6">
        <v>386</v>
      </c>
      <c r="D389" s="7">
        <v>67747.042176000003</v>
      </c>
      <c r="E389" s="2" t="s">
        <v>152</v>
      </c>
      <c r="F389" s="6">
        <v>2002</v>
      </c>
      <c r="G389" s="6">
        <v>5</v>
      </c>
      <c r="H389" s="7">
        <v>30</v>
      </c>
      <c r="I389" s="6">
        <v>5</v>
      </c>
      <c r="J389" s="6">
        <v>2</v>
      </c>
      <c r="K389" s="6">
        <v>1</v>
      </c>
      <c r="L389" s="6">
        <v>15</v>
      </c>
      <c r="M389" s="6">
        <v>153673</v>
      </c>
      <c r="N389" s="6">
        <v>3073460</v>
      </c>
      <c r="O389" s="6">
        <v>43</v>
      </c>
      <c r="P389" s="7">
        <v>2512.1772000000001</v>
      </c>
      <c r="Q389" s="7">
        <v>10563.656999999999</v>
      </c>
      <c r="R389" s="9">
        <f>D389*VLOOKUP(1001,적!$A$4:$D$13,3,FALSE)</f>
        <v>135494.08435200001</v>
      </c>
      <c r="S389" s="9">
        <f>D389*VLOOKUP(F389,보스!$A$4:$E$5,4,FALSE)</f>
        <v>4877787.0366719998</v>
      </c>
    </row>
    <row r="390" spans="1:19" ht="21.95" customHeight="1">
      <c r="A390" s="6">
        <v>5387</v>
      </c>
      <c r="B390" s="2" t="s">
        <v>538</v>
      </c>
      <c r="C390" s="6">
        <v>387</v>
      </c>
      <c r="D390" s="7">
        <v>68181.502398559998</v>
      </c>
      <c r="E390" s="2" t="s">
        <v>152</v>
      </c>
      <c r="F390" s="6">
        <v>2001</v>
      </c>
      <c r="G390" s="6">
        <v>5</v>
      </c>
      <c r="H390" s="7">
        <v>30</v>
      </c>
      <c r="I390" s="6">
        <v>5</v>
      </c>
      <c r="J390" s="6">
        <v>2</v>
      </c>
      <c r="K390" s="6">
        <v>1</v>
      </c>
      <c r="L390" s="6">
        <v>15</v>
      </c>
      <c r="M390" s="6">
        <v>154080</v>
      </c>
      <c r="N390" s="6">
        <v>3081600</v>
      </c>
      <c r="O390" s="6">
        <v>43</v>
      </c>
      <c r="P390" s="7">
        <v>2523.4552399999998</v>
      </c>
      <c r="Q390" s="7">
        <v>10611.078100000001</v>
      </c>
      <c r="R390" s="9">
        <f>D390*VLOOKUP(1001,적!$A$4:$D$13,3,FALSE)</f>
        <v>136363.00479712</v>
      </c>
      <c r="S390" s="9">
        <f>D390*VLOOKUP(F390,보스!$A$4:$E$5,4,FALSE)</f>
        <v>4909068.1726963203</v>
      </c>
    </row>
    <row r="391" spans="1:19" ht="21.95" customHeight="1">
      <c r="A391" s="6">
        <v>5388</v>
      </c>
      <c r="B391" s="2" t="s">
        <v>539</v>
      </c>
      <c r="C391" s="6">
        <v>388</v>
      </c>
      <c r="D391" s="7">
        <v>68618.050438000006</v>
      </c>
      <c r="E391" s="2" t="s">
        <v>152</v>
      </c>
      <c r="F391" s="6">
        <v>2002</v>
      </c>
      <c r="G391" s="6">
        <v>5</v>
      </c>
      <c r="H391" s="7">
        <v>30</v>
      </c>
      <c r="I391" s="6">
        <v>5</v>
      </c>
      <c r="J391" s="6">
        <v>2</v>
      </c>
      <c r="K391" s="6">
        <v>1</v>
      </c>
      <c r="L391" s="6">
        <v>15</v>
      </c>
      <c r="M391" s="6">
        <v>154487</v>
      </c>
      <c r="N391" s="6">
        <v>3089740</v>
      </c>
      <c r="O391" s="6">
        <v>43</v>
      </c>
      <c r="P391" s="7">
        <v>2534.75792</v>
      </c>
      <c r="Q391" s="7">
        <v>10658.602800000001</v>
      </c>
      <c r="R391" s="9">
        <f>D391*VLOOKUP(1001,적!$A$4:$D$13,3,FALSE)</f>
        <v>137236.10087600001</v>
      </c>
      <c r="S391" s="9">
        <f>D391*VLOOKUP(F391,보스!$A$4:$E$5,4,FALSE)</f>
        <v>4940499.6315360004</v>
      </c>
    </row>
    <row r="392" spans="1:19" ht="21.95" customHeight="1">
      <c r="A392" s="6">
        <v>5389</v>
      </c>
      <c r="B392" s="2" t="s">
        <v>540</v>
      </c>
      <c r="C392" s="6">
        <v>389</v>
      </c>
      <c r="D392" s="7">
        <v>69056.693771520004</v>
      </c>
      <c r="E392" s="2" t="s">
        <v>152</v>
      </c>
      <c r="F392" s="6">
        <v>2001</v>
      </c>
      <c r="G392" s="6">
        <v>5</v>
      </c>
      <c r="H392" s="7">
        <v>30</v>
      </c>
      <c r="I392" s="6">
        <v>5</v>
      </c>
      <c r="J392" s="6">
        <v>2</v>
      </c>
      <c r="K392" s="6">
        <v>1</v>
      </c>
      <c r="L392" s="6">
        <v>15</v>
      </c>
      <c r="M392" s="6">
        <v>154894</v>
      </c>
      <c r="N392" s="6">
        <v>3097880</v>
      </c>
      <c r="O392" s="6">
        <v>43</v>
      </c>
      <c r="P392" s="7">
        <v>2546.0852399999999</v>
      </c>
      <c r="Q392" s="7">
        <v>10706.231100000001</v>
      </c>
      <c r="R392" s="9">
        <f>D392*VLOOKUP(1001,적!$A$4:$D$13,3,FALSE)</f>
        <v>138113.38754304001</v>
      </c>
      <c r="S392" s="9">
        <f>D392*VLOOKUP(F392,보스!$A$4:$E$5,4,FALSE)</f>
        <v>4972081.9515494406</v>
      </c>
    </row>
    <row r="393" spans="1:19" ht="21.95" customHeight="1">
      <c r="A393" s="6">
        <v>5390</v>
      </c>
      <c r="B393" s="2" t="s">
        <v>541</v>
      </c>
      <c r="C393" s="6">
        <v>390</v>
      </c>
      <c r="D393" s="7">
        <v>69497.439893600007</v>
      </c>
      <c r="E393" s="2" t="s">
        <v>152</v>
      </c>
      <c r="F393" s="6">
        <v>2002</v>
      </c>
      <c r="G393" s="6">
        <v>5</v>
      </c>
      <c r="H393" s="7">
        <v>30</v>
      </c>
      <c r="I393" s="6">
        <v>5</v>
      </c>
      <c r="J393" s="6">
        <v>2</v>
      </c>
      <c r="K393" s="6">
        <v>1</v>
      </c>
      <c r="L393" s="6">
        <v>15</v>
      </c>
      <c r="M393" s="6">
        <v>155301</v>
      </c>
      <c r="N393" s="6">
        <v>3106020</v>
      </c>
      <c r="O393" s="6">
        <v>44</v>
      </c>
      <c r="P393" s="7">
        <v>2557.4371999999998</v>
      </c>
      <c r="Q393" s="7">
        <v>10753.963</v>
      </c>
      <c r="R393" s="9">
        <f>D393*VLOOKUP(1001,적!$A$4:$D$13,3,FALSE)</f>
        <v>138994.87978720001</v>
      </c>
      <c r="S393" s="9">
        <f>D393*VLOOKUP(F393,보스!$A$4:$E$5,4,FALSE)</f>
        <v>5003815.672339201</v>
      </c>
    </row>
    <row r="394" spans="1:19" ht="21.95" customHeight="1">
      <c r="A394" s="6">
        <v>5391</v>
      </c>
      <c r="B394" s="2" t="s">
        <v>542</v>
      </c>
      <c r="C394" s="6">
        <v>391</v>
      </c>
      <c r="D394" s="7">
        <v>69940.296316000007</v>
      </c>
      <c r="E394" s="2" t="s">
        <v>152</v>
      </c>
      <c r="F394" s="6">
        <v>2001</v>
      </c>
      <c r="G394" s="6">
        <v>5</v>
      </c>
      <c r="H394" s="7">
        <v>30</v>
      </c>
      <c r="I394" s="6">
        <v>5</v>
      </c>
      <c r="J394" s="6">
        <v>2</v>
      </c>
      <c r="K394" s="6">
        <v>1</v>
      </c>
      <c r="L394" s="6">
        <v>15</v>
      </c>
      <c r="M394" s="6">
        <v>155708</v>
      </c>
      <c r="N394" s="6">
        <v>3114160</v>
      </c>
      <c r="O394" s="6">
        <v>44</v>
      </c>
      <c r="P394" s="7">
        <v>2568.8137999999999</v>
      </c>
      <c r="Q394" s="7">
        <v>10801.798500000001</v>
      </c>
      <c r="R394" s="9">
        <f>D394*VLOOKUP(1001,적!$A$4:$D$13,3,FALSE)</f>
        <v>139880.59263200001</v>
      </c>
      <c r="S394" s="9">
        <f>D394*VLOOKUP(F394,보스!$A$4:$E$5,4,FALSE)</f>
        <v>5035701.3347520009</v>
      </c>
    </row>
    <row r="395" spans="1:19" ht="21.95" customHeight="1">
      <c r="A395" s="6">
        <v>5392</v>
      </c>
      <c r="B395" s="2" t="s">
        <v>543</v>
      </c>
      <c r="C395" s="6">
        <v>392</v>
      </c>
      <c r="D395" s="7">
        <v>70385.270567760002</v>
      </c>
      <c r="E395" s="2" t="s">
        <v>152</v>
      </c>
      <c r="F395" s="6">
        <v>2002</v>
      </c>
      <c r="G395" s="6">
        <v>5</v>
      </c>
      <c r="H395" s="7">
        <v>30</v>
      </c>
      <c r="I395" s="6">
        <v>5</v>
      </c>
      <c r="J395" s="6">
        <v>2</v>
      </c>
      <c r="K395" s="6">
        <v>1</v>
      </c>
      <c r="L395" s="6">
        <v>15</v>
      </c>
      <c r="M395" s="6">
        <v>156115</v>
      </c>
      <c r="N395" s="6">
        <v>3122300</v>
      </c>
      <c r="O395" s="6">
        <v>44</v>
      </c>
      <c r="P395" s="7">
        <v>2580.21504</v>
      </c>
      <c r="Q395" s="7">
        <v>10849.7376</v>
      </c>
      <c r="R395" s="9">
        <f>D395*VLOOKUP(1001,적!$A$4:$D$13,3,FALSE)</f>
        <v>140770.54113552</v>
      </c>
      <c r="S395" s="9">
        <f>D395*VLOOKUP(F395,보스!$A$4:$E$5,4,FALSE)</f>
        <v>5067739.4808787201</v>
      </c>
    </row>
    <row r="396" spans="1:19" ht="21.95" customHeight="1">
      <c r="A396" s="6">
        <v>5393</v>
      </c>
      <c r="B396" s="2" t="s">
        <v>544</v>
      </c>
      <c r="C396" s="6">
        <v>393</v>
      </c>
      <c r="D396" s="7">
        <v>70832.370195199997</v>
      </c>
      <c r="E396" s="2" t="s">
        <v>152</v>
      </c>
      <c r="F396" s="6">
        <v>2001</v>
      </c>
      <c r="G396" s="6">
        <v>5</v>
      </c>
      <c r="H396" s="7">
        <v>30</v>
      </c>
      <c r="I396" s="6">
        <v>5</v>
      </c>
      <c r="J396" s="6">
        <v>2</v>
      </c>
      <c r="K396" s="6">
        <v>1</v>
      </c>
      <c r="L396" s="6">
        <v>15</v>
      </c>
      <c r="M396" s="6">
        <v>156522</v>
      </c>
      <c r="N396" s="6">
        <v>3130440</v>
      </c>
      <c r="O396" s="6">
        <v>44</v>
      </c>
      <c r="P396" s="7">
        <v>2591.6409199999998</v>
      </c>
      <c r="Q396" s="7">
        <v>10897.7803</v>
      </c>
      <c r="R396" s="9">
        <f>D396*VLOOKUP(1001,적!$A$4:$D$13,3,FALSE)</f>
        <v>141664.74039039999</v>
      </c>
      <c r="S396" s="9">
        <f>D396*VLOOKUP(F396,보스!$A$4:$E$5,4,FALSE)</f>
        <v>5099930.6540543996</v>
      </c>
    </row>
    <row r="397" spans="1:19" ht="21.95" customHeight="1">
      <c r="A397" s="6">
        <v>5394</v>
      </c>
      <c r="B397" s="2" t="s">
        <v>545</v>
      </c>
      <c r="C397" s="6">
        <v>394</v>
      </c>
      <c r="D397" s="7">
        <v>71281.602761920003</v>
      </c>
      <c r="E397" s="2" t="s">
        <v>152</v>
      </c>
      <c r="F397" s="6">
        <v>2002</v>
      </c>
      <c r="G397" s="6">
        <v>5</v>
      </c>
      <c r="H397" s="7">
        <v>30</v>
      </c>
      <c r="I397" s="6">
        <v>5</v>
      </c>
      <c r="J397" s="6">
        <v>2</v>
      </c>
      <c r="K397" s="6">
        <v>1</v>
      </c>
      <c r="L397" s="6">
        <v>15</v>
      </c>
      <c r="M397" s="6">
        <v>156929</v>
      </c>
      <c r="N397" s="6">
        <v>3138580</v>
      </c>
      <c r="O397" s="6">
        <v>44</v>
      </c>
      <c r="P397" s="7">
        <v>2603.0914400000001</v>
      </c>
      <c r="Q397" s="7">
        <v>10945.926600000001</v>
      </c>
      <c r="R397" s="9">
        <f>D397*VLOOKUP(1001,적!$A$4:$D$13,3,FALSE)</f>
        <v>142563.20552384001</v>
      </c>
      <c r="S397" s="9">
        <f>D397*VLOOKUP(F397,보스!$A$4:$E$5,4,FALSE)</f>
        <v>5132275.3988582399</v>
      </c>
    </row>
    <row r="398" spans="1:19" ht="21.95" customHeight="1">
      <c r="A398" s="6">
        <v>5395</v>
      </c>
      <c r="B398" s="2" t="s">
        <v>546</v>
      </c>
      <c r="C398" s="6">
        <v>395</v>
      </c>
      <c r="D398" s="7">
        <v>71732.975848799993</v>
      </c>
      <c r="E398" s="2" t="s">
        <v>152</v>
      </c>
      <c r="F398" s="6">
        <v>2001</v>
      </c>
      <c r="G398" s="6">
        <v>5</v>
      </c>
      <c r="H398" s="7">
        <v>30</v>
      </c>
      <c r="I398" s="6">
        <v>5</v>
      </c>
      <c r="J398" s="6">
        <v>2</v>
      </c>
      <c r="K398" s="6">
        <v>1</v>
      </c>
      <c r="L398" s="6">
        <v>15</v>
      </c>
      <c r="M398" s="6">
        <v>157336</v>
      </c>
      <c r="N398" s="6">
        <v>3146720</v>
      </c>
      <c r="O398" s="6">
        <v>44</v>
      </c>
      <c r="P398" s="7">
        <v>2614.5666000000001</v>
      </c>
      <c r="Q398" s="7">
        <v>10994.1765</v>
      </c>
      <c r="R398" s="9">
        <f>D398*VLOOKUP(1001,적!$A$4:$D$13,3,FALSE)</f>
        <v>143465.95169759999</v>
      </c>
      <c r="S398" s="9">
        <f>D398*VLOOKUP(F398,보스!$A$4:$E$5,4,FALSE)</f>
        <v>5164774.2611135999</v>
      </c>
    </row>
    <row r="399" spans="1:19" ht="21.95" customHeight="1">
      <c r="A399" s="6">
        <v>5396</v>
      </c>
      <c r="B399" s="2" t="s">
        <v>547</v>
      </c>
      <c r="C399" s="6">
        <v>396</v>
      </c>
      <c r="D399" s="7">
        <v>72186.497054000007</v>
      </c>
      <c r="E399" s="2" t="s">
        <v>152</v>
      </c>
      <c r="F399" s="6">
        <v>2002</v>
      </c>
      <c r="G399" s="6">
        <v>5</v>
      </c>
      <c r="H399" s="7">
        <v>30</v>
      </c>
      <c r="I399" s="6">
        <v>5</v>
      </c>
      <c r="J399" s="6">
        <v>2</v>
      </c>
      <c r="K399" s="6">
        <v>1</v>
      </c>
      <c r="L399" s="6">
        <v>15</v>
      </c>
      <c r="M399" s="6">
        <v>157743</v>
      </c>
      <c r="N399" s="6">
        <v>3154860</v>
      </c>
      <c r="O399" s="6">
        <v>44</v>
      </c>
      <c r="P399" s="7">
        <v>2626.0664000000002</v>
      </c>
      <c r="Q399" s="7">
        <v>11042.53</v>
      </c>
      <c r="R399" s="9">
        <f>D399*VLOOKUP(1001,적!$A$4:$D$13,3,FALSE)</f>
        <v>144372.99410800001</v>
      </c>
      <c r="S399" s="9">
        <f>D399*VLOOKUP(F399,보스!$A$4:$E$5,4,FALSE)</f>
        <v>5197427.7878880007</v>
      </c>
    </row>
    <row r="400" spans="1:19" ht="21.95" customHeight="1">
      <c r="A400" s="6">
        <v>5397</v>
      </c>
      <c r="B400" s="2" t="s">
        <v>548</v>
      </c>
      <c r="C400" s="6">
        <v>397</v>
      </c>
      <c r="D400" s="7">
        <v>72642.173992960001</v>
      </c>
      <c r="E400" s="2" t="s">
        <v>152</v>
      </c>
      <c r="F400" s="6">
        <v>2001</v>
      </c>
      <c r="G400" s="6">
        <v>5</v>
      </c>
      <c r="H400" s="7">
        <v>30</v>
      </c>
      <c r="I400" s="6">
        <v>5</v>
      </c>
      <c r="J400" s="6">
        <v>2</v>
      </c>
      <c r="K400" s="6">
        <v>1</v>
      </c>
      <c r="L400" s="6">
        <v>15</v>
      </c>
      <c r="M400" s="6">
        <v>158150</v>
      </c>
      <c r="N400" s="6">
        <v>3163000</v>
      </c>
      <c r="O400" s="6">
        <v>44</v>
      </c>
      <c r="P400" s="7">
        <v>2637.5908399999998</v>
      </c>
      <c r="Q400" s="7">
        <v>11090.9871</v>
      </c>
      <c r="R400" s="9">
        <f>D400*VLOOKUP(1001,적!$A$4:$D$13,3,FALSE)</f>
        <v>145284.34798592</v>
      </c>
      <c r="S400" s="9">
        <f>D400*VLOOKUP(F400,보스!$A$4:$E$5,4,FALSE)</f>
        <v>5230236.5274931202</v>
      </c>
    </row>
    <row r="401" spans="1:19" ht="21.95" customHeight="1">
      <c r="A401" s="6">
        <v>5398</v>
      </c>
      <c r="B401" s="2" t="s">
        <v>549</v>
      </c>
      <c r="C401" s="6">
        <v>398</v>
      </c>
      <c r="D401" s="7">
        <v>73100.014298399998</v>
      </c>
      <c r="E401" s="2" t="s">
        <v>152</v>
      </c>
      <c r="F401" s="6">
        <v>2002</v>
      </c>
      <c r="G401" s="6">
        <v>5</v>
      </c>
      <c r="H401" s="7">
        <v>30</v>
      </c>
      <c r="I401" s="6">
        <v>5</v>
      </c>
      <c r="J401" s="6">
        <v>2</v>
      </c>
      <c r="K401" s="6">
        <v>1</v>
      </c>
      <c r="L401" s="6">
        <v>15</v>
      </c>
      <c r="M401" s="6">
        <v>158557</v>
      </c>
      <c r="N401" s="6">
        <v>3171140</v>
      </c>
      <c r="O401" s="6">
        <v>44</v>
      </c>
      <c r="P401" s="7">
        <v>2649.1399200000001</v>
      </c>
      <c r="Q401" s="7">
        <v>11139.5478</v>
      </c>
      <c r="R401" s="9">
        <f>D401*VLOOKUP(1001,적!$A$4:$D$13,3,FALSE)</f>
        <v>146200.0285968</v>
      </c>
      <c r="S401" s="9">
        <f>D401*VLOOKUP(F401,보스!$A$4:$E$5,4,FALSE)</f>
        <v>5263201.0294848001</v>
      </c>
    </row>
    <row r="402" spans="1:19" ht="21.95" customHeight="1">
      <c r="A402" s="6">
        <v>5399</v>
      </c>
      <c r="B402" s="2" t="s">
        <v>550</v>
      </c>
      <c r="C402" s="6">
        <v>399</v>
      </c>
      <c r="D402" s="7">
        <v>73560.025620319997</v>
      </c>
      <c r="E402" s="2" t="s">
        <v>152</v>
      </c>
      <c r="F402" s="6">
        <v>2001</v>
      </c>
      <c r="G402" s="6">
        <v>5</v>
      </c>
      <c r="H402" s="7">
        <v>30</v>
      </c>
      <c r="I402" s="6">
        <v>5</v>
      </c>
      <c r="J402" s="6">
        <v>2</v>
      </c>
      <c r="K402" s="6">
        <v>1</v>
      </c>
      <c r="L402" s="6">
        <v>15</v>
      </c>
      <c r="M402" s="6">
        <v>158964</v>
      </c>
      <c r="N402" s="6">
        <v>3179280</v>
      </c>
      <c r="O402" s="6">
        <v>44</v>
      </c>
      <c r="P402" s="7">
        <v>2660.7136399999999</v>
      </c>
      <c r="Q402" s="7">
        <v>11188.212100000001</v>
      </c>
      <c r="R402" s="9">
        <f>D402*VLOOKUP(1001,적!$A$4:$D$13,3,FALSE)</f>
        <v>147120.05124063999</v>
      </c>
      <c r="S402" s="9">
        <f>D402*VLOOKUP(F402,보스!$A$4:$E$5,4,FALSE)</f>
        <v>5296321.8446630398</v>
      </c>
    </row>
    <row r="403" spans="1:19" ht="21.95" customHeight="1">
      <c r="A403" s="6">
        <v>5400</v>
      </c>
      <c r="B403" s="2" t="s">
        <v>551</v>
      </c>
      <c r="C403" s="6">
        <v>400</v>
      </c>
      <c r="D403" s="7">
        <v>74022.215626000005</v>
      </c>
      <c r="E403" s="2" t="s">
        <v>152</v>
      </c>
      <c r="F403" s="6">
        <v>2002</v>
      </c>
      <c r="G403" s="6">
        <v>5</v>
      </c>
      <c r="H403" s="7">
        <v>30</v>
      </c>
      <c r="I403" s="6">
        <v>5</v>
      </c>
      <c r="J403" s="6">
        <v>2</v>
      </c>
      <c r="K403" s="6">
        <v>1</v>
      </c>
      <c r="L403" s="6">
        <v>15</v>
      </c>
      <c r="M403" s="6">
        <v>159371</v>
      </c>
      <c r="N403" s="6">
        <v>3187420</v>
      </c>
      <c r="O403" s="6">
        <v>45</v>
      </c>
      <c r="P403" s="7">
        <v>2672.3119999999999</v>
      </c>
      <c r="Q403" s="7">
        <v>11236.98</v>
      </c>
      <c r="R403" s="9">
        <f>D403*VLOOKUP(1001,적!$A$4:$D$13,3,FALSE)</f>
        <v>148044.43125200001</v>
      </c>
      <c r="S403" s="9">
        <f>D403*VLOOKUP(F403,보스!$A$4:$E$5,4,FALSE)</f>
        <v>5329599.525072</v>
      </c>
    </row>
    <row r="404" spans="1:19" ht="21.95" customHeight="1">
      <c r="A404" s="6">
        <v>5401</v>
      </c>
      <c r="B404" s="2" t="s">
        <v>552</v>
      </c>
      <c r="C404" s="6">
        <v>401</v>
      </c>
      <c r="D404" s="7">
        <v>74486.592000000004</v>
      </c>
      <c r="E404" s="2" t="s">
        <v>152</v>
      </c>
      <c r="F404" s="6">
        <v>2001</v>
      </c>
      <c r="G404" s="6">
        <v>5</v>
      </c>
      <c r="H404" s="7">
        <v>30</v>
      </c>
      <c r="I404" s="6">
        <v>5</v>
      </c>
      <c r="J404" s="6">
        <v>2</v>
      </c>
      <c r="K404" s="6">
        <v>1</v>
      </c>
      <c r="L404" s="6">
        <v>15</v>
      </c>
      <c r="M404" s="6">
        <v>159778</v>
      </c>
      <c r="N404" s="6">
        <v>3195560</v>
      </c>
      <c r="O404" s="6">
        <v>45</v>
      </c>
      <c r="P404" s="7">
        <v>2683.9349999999999</v>
      </c>
      <c r="Q404" s="7">
        <v>11285.851500000001</v>
      </c>
      <c r="R404" s="9">
        <f>D404*VLOOKUP(1001,적!$A$4:$D$13,3,FALSE)</f>
        <v>148973.18400000001</v>
      </c>
      <c r="S404" s="9">
        <f>D404*VLOOKUP(F404,보스!$A$4:$E$5,4,FALSE)</f>
        <v>5363034.6239999998</v>
      </c>
    </row>
    <row r="405" spans="1:19" ht="21.95" customHeight="1">
      <c r="A405" s="6">
        <v>5402</v>
      </c>
      <c r="B405" s="2" t="s">
        <v>553</v>
      </c>
      <c r="C405" s="6">
        <v>402</v>
      </c>
      <c r="D405" s="7">
        <v>74953.16244416</v>
      </c>
      <c r="E405" s="2" t="s">
        <v>152</v>
      </c>
      <c r="F405" s="6">
        <v>2002</v>
      </c>
      <c r="G405" s="6">
        <v>5</v>
      </c>
      <c r="H405" s="7">
        <v>30</v>
      </c>
      <c r="I405" s="6">
        <v>5</v>
      </c>
      <c r="J405" s="6">
        <v>2</v>
      </c>
      <c r="K405" s="6">
        <v>1</v>
      </c>
      <c r="L405" s="6">
        <v>15</v>
      </c>
      <c r="M405" s="6">
        <v>160185</v>
      </c>
      <c r="N405" s="6">
        <v>3203700</v>
      </c>
      <c r="O405" s="6">
        <v>45</v>
      </c>
      <c r="P405" s="7">
        <v>2695.5826400000001</v>
      </c>
      <c r="Q405" s="7">
        <v>11334.8266</v>
      </c>
      <c r="R405" s="9">
        <f>D405*VLOOKUP(1001,적!$A$4:$D$13,3,FALSE)</f>
        <v>149906.32488832</v>
      </c>
      <c r="S405" s="9">
        <f>D405*VLOOKUP(F405,보스!$A$4:$E$5,4,FALSE)</f>
        <v>5396627.6959795197</v>
      </c>
    </row>
    <row r="406" spans="1:19" ht="21.95" customHeight="1">
      <c r="A406" s="6">
        <v>5403</v>
      </c>
      <c r="B406" s="2" t="s">
        <v>554</v>
      </c>
      <c r="C406" s="6">
        <v>403</v>
      </c>
      <c r="D406" s="7">
        <v>75421.934677600002</v>
      </c>
      <c r="E406" s="2" t="s">
        <v>152</v>
      </c>
      <c r="F406" s="6">
        <v>2001</v>
      </c>
      <c r="G406" s="6">
        <v>5</v>
      </c>
      <c r="H406" s="7">
        <v>30</v>
      </c>
      <c r="I406" s="6">
        <v>5</v>
      </c>
      <c r="J406" s="6">
        <v>2</v>
      </c>
      <c r="K406" s="6">
        <v>1</v>
      </c>
      <c r="L406" s="6">
        <v>15</v>
      </c>
      <c r="M406" s="6">
        <v>160591</v>
      </c>
      <c r="N406" s="6">
        <v>3211820</v>
      </c>
      <c r="O406" s="6">
        <v>45</v>
      </c>
      <c r="P406" s="7">
        <v>2707.2549199999999</v>
      </c>
      <c r="Q406" s="7">
        <v>11383.9053</v>
      </c>
      <c r="R406" s="9">
        <f>D406*VLOOKUP(1001,적!$A$4:$D$13,3,FALSE)</f>
        <v>150843.8693552</v>
      </c>
      <c r="S406" s="9">
        <f>D406*VLOOKUP(F406,보스!$A$4:$E$5,4,FALSE)</f>
        <v>5430379.2967872005</v>
      </c>
    </row>
    <row r="407" spans="1:19" ht="21.95" customHeight="1">
      <c r="A407" s="6">
        <v>5404</v>
      </c>
      <c r="B407" s="2" t="s">
        <v>555</v>
      </c>
      <c r="C407" s="6">
        <v>404</v>
      </c>
      <c r="D407" s="7">
        <v>75892.916436719999</v>
      </c>
      <c r="E407" s="2" t="s">
        <v>152</v>
      </c>
      <c r="F407" s="6">
        <v>2002</v>
      </c>
      <c r="G407" s="6">
        <v>5</v>
      </c>
      <c r="H407" s="7">
        <v>30</v>
      </c>
      <c r="I407" s="6">
        <v>5</v>
      </c>
      <c r="J407" s="6">
        <v>2</v>
      </c>
      <c r="K407" s="6">
        <v>1</v>
      </c>
      <c r="L407" s="6">
        <v>15</v>
      </c>
      <c r="M407" s="6">
        <v>160998</v>
      </c>
      <c r="N407" s="6">
        <v>3219960</v>
      </c>
      <c r="O407" s="6">
        <v>45</v>
      </c>
      <c r="P407" s="7">
        <v>2718.9518400000002</v>
      </c>
      <c r="Q407" s="7">
        <v>11433.087600000001</v>
      </c>
      <c r="R407" s="9">
        <f>D407*VLOOKUP(1001,적!$A$4:$D$13,3,FALSE)</f>
        <v>151785.83287344</v>
      </c>
      <c r="S407" s="9">
        <f>D407*VLOOKUP(F407,보스!$A$4:$E$5,4,FALSE)</f>
        <v>5464289.9834438395</v>
      </c>
    </row>
    <row r="408" spans="1:19" ht="21.95" customHeight="1">
      <c r="A408" s="6">
        <v>5405</v>
      </c>
      <c r="B408" s="2" t="s">
        <v>556</v>
      </c>
      <c r="C408" s="6">
        <v>405</v>
      </c>
      <c r="D408" s="7">
        <v>76366.1154752</v>
      </c>
      <c r="E408" s="2" t="s">
        <v>152</v>
      </c>
      <c r="F408" s="6">
        <v>2001</v>
      </c>
      <c r="G408" s="6">
        <v>5</v>
      </c>
      <c r="H408" s="7">
        <v>30</v>
      </c>
      <c r="I408" s="6">
        <v>5</v>
      </c>
      <c r="J408" s="6">
        <v>2</v>
      </c>
      <c r="K408" s="6">
        <v>1</v>
      </c>
      <c r="L408" s="6">
        <v>15</v>
      </c>
      <c r="M408" s="6">
        <v>161405</v>
      </c>
      <c r="N408" s="6">
        <v>3228100</v>
      </c>
      <c r="O408" s="6">
        <v>45</v>
      </c>
      <c r="P408" s="7">
        <v>2730.6734000000001</v>
      </c>
      <c r="Q408" s="7">
        <v>11482.3735</v>
      </c>
      <c r="R408" s="9">
        <f>D408*VLOOKUP(1001,적!$A$4:$D$13,3,FALSE)</f>
        <v>152732.2309504</v>
      </c>
      <c r="S408" s="9">
        <f>D408*VLOOKUP(F408,보스!$A$4:$E$5,4,FALSE)</f>
        <v>5498360.3142144</v>
      </c>
    </row>
    <row r="409" spans="1:19" ht="21.95" customHeight="1">
      <c r="A409" s="6">
        <v>5406</v>
      </c>
      <c r="B409" s="2" t="s">
        <v>557</v>
      </c>
      <c r="C409" s="6">
        <v>406</v>
      </c>
      <c r="D409" s="7">
        <v>76841.539564000006</v>
      </c>
      <c r="E409" s="2" t="s">
        <v>152</v>
      </c>
      <c r="F409" s="6">
        <v>2002</v>
      </c>
      <c r="G409" s="6">
        <v>5</v>
      </c>
      <c r="H409" s="7">
        <v>30</v>
      </c>
      <c r="I409" s="6">
        <v>5</v>
      </c>
      <c r="J409" s="6">
        <v>2</v>
      </c>
      <c r="K409" s="6">
        <v>1</v>
      </c>
      <c r="L409" s="6">
        <v>15</v>
      </c>
      <c r="M409" s="6">
        <v>161812</v>
      </c>
      <c r="N409" s="6">
        <v>3236240</v>
      </c>
      <c r="O409" s="6">
        <v>45</v>
      </c>
      <c r="P409" s="7">
        <v>2742.4196000000002</v>
      </c>
      <c r="Q409" s="7">
        <v>11531.763000000001</v>
      </c>
      <c r="R409" s="9">
        <f>D409*VLOOKUP(1001,적!$A$4:$D$13,3,FALSE)</f>
        <v>153683.07912800001</v>
      </c>
      <c r="S409" s="9">
        <f>D409*VLOOKUP(F409,보스!$A$4:$E$5,4,FALSE)</f>
        <v>5532590.8486080002</v>
      </c>
    </row>
    <row r="410" spans="1:19" ht="21.95" customHeight="1">
      <c r="A410" s="6">
        <v>5407</v>
      </c>
      <c r="B410" s="2" t="s">
        <v>558</v>
      </c>
      <c r="C410" s="6">
        <v>407</v>
      </c>
      <c r="D410" s="7">
        <v>77319.196491359995</v>
      </c>
      <c r="E410" s="2" t="s">
        <v>152</v>
      </c>
      <c r="F410" s="6">
        <v>2001</v>
      </c>
      <c r="G410" s="6">
        <v>5</v>
      </c>
      <c r="H410" s="7">
        <v>30</v>
      </c>
      <c r="I410" s="6">
        <v>5</v>
      </c>
      <c r="J410" s="6">
        <v>2</v>
      </c>
      <c r="K410" s="6">
        <v>1</v>
      </c>
      <c r="L410" s="6">
        <v>15</v>
      </c>
      <c r="M410" s="6">
        <v>162219</v>
      </c>
      <c r="N410" s="6">
        <v>3244380</v>
      </c>
      <c r="O410" s="6">
        <v>45</v>
      </c>
      <c r="P410" s="7">
        <v>2754.1904399999999</v>
      </c>
      <c r="Q410" s="7">
        <v>11581.256100000001</v>
      </c>
      <c r="R410" s="9">
        <f>D410*VLOOKUP(1001,적!$A$4:$D$13,3,FALSE)</f>
        <v>154638.39298271999</v>
      </c>
      <c r="S410" s="9">
        <f>D410*VLOOKUP(F410,보스!$A$4:$E$5,4,FALSE)</f>
        <v>5566982.1473779194</v>
      </c>
    </row>
    <row r="411" spans="1:19" ht="21.95" customHeight="1">
      <c r="A411" s="6">
        <v>5408</v>
      </c>
      <c r="B411" s="2" t="s">
        <v>559</v>
      </c>
      <c r="C411" s="6">
        <v>408</v>
      </c>
      <c r="D411" s="7">
        <v>77799.094062799995</v>
      </c>
      <c r="E411" s="2" t="s">
        <v>152</v>
      </c>
      <c r="F411" s="6">
        <v>2002</v>
      </c>
      <c r="G411" s="6">
        <v>5</v>
      </c>
      <c r="H411" s="7">
        <v>30</v>
      </c>
      <c r="I411" s="6">
        <v>5</v>
      </c>
      <c r="J411" s="6">
        <v>2</v>
      </c>
      <c r="K411" s="6">
        <v>1</v>
      </c>
      <c r="L411" s="6">
        <v>15</v>
      </c>
      <c r="M411" s="6">
        <v>162626</v>
      </c>
      <c r="N411" s="6">
        <v>3252520</v>
      </c>
      <c r="O411" s="6">
        <v>45</v>
      </c>
      <c r="P411" s="7">
        <v>2765.9859200000001</v>
      </c>
      <c r="Q411" s="7">
        <v>11630.852800000001</v>
      </c>
      <c r="R411" s="9">
        <f>D411*VLOOKUP(1001,적!$A$4:$D$13,3,FALSE)</f>
        <v>155598.18812559999</v>
      </c>
      <c r="S411" s="9">
        <f>D411*VLOOKUP(F411,보스!$A$4:$E$5,4,FALSE)</f>
        <v>5601534.7725216001</v>
      </c>
    </row>
    <row r="412" spans="1:19" ht="21.95" customHeight="1">
      <c r="A412" s="6">
        <v>5409</v>
      </c>
      <c r="B412" s="2" t="s">
        <v>560</v>
      </c>
      <c r="C412" s="6">
        <v>409</v>
      </c>
      <c r="D412" s="7">
        <v>78281.240101119998</v>
      </c>
      <c r="E412" s="2" t="s">
        <v>152</v>
      </c>
      <c r="F412" s="6">
        <v>2001</v>
      </c>
      <c r="G412" s="6">
        <v>5</v>
      </c>
      <c r="H412" s="7">
        <v>30</v>
      </c>
      <c r="I412" s="6">
        <v>5</v>
      </c>
      <c r="J412" s="6">
        <v>2</v>
      </c>
      <c r="K412" s="6">
        <v>1</v>
      </c>
      <c r="L412" s="6">
        <v>15</v>
      </c>
      <c r="M412" s="6">
        <v>163033</v>
      </c>
      <c r="N412" s="6">
        <v>3260660</v>
      </c>
      <c r="O412" s="6">
        <v>45</v>
      </c>
      <c r="P412" s="7">
        <v>2777.8060399999999</v>
      </c>
      <c r="Q412" s="7">
        <v>11680.553099999999</v>
      </c>
      <c r="R412" s="9">
        <f>D412*VLOOKUP(1001,적!$A$4:$D$13,3,FALSE)</f>
        <v>156562.48020224</v>
      </c>
      <c r="S412" s="9">
        <f>D412*VLOOKUP(F412,보스!$A$4:$E$5,4,FALSE)</f>
        <v>5636249.2872806396</v>
      </c>
    </row>
    <row r="413" spans="1:19" ht="21.95" customHeight="1">
      <c r="A413" s="6">
        <v>5410</v>
      </c>
      <c r="B413" s="2" t="s">
        <v>561</v>
      </c>
      <c r="C413" s="6">
        <v>410</v>
      </c>
      <c r="D413" s="7">
        <v>78765.642446400001</v>
      </c>
      <c r="E413" s="2" t="s">
        <v>152</v>
      </c>
      <c r="F413" s="6">
        <v>2002</v>
      </c>
      <c r="G413" s="6">
        <v>5</v>
      </c>
      <c r="H413" s="7">
        <v>30</v>
      </c>
      <c r="I413" s="6">
        <v>5</v>
      </c>
      <c r="J413" s="6">
        <v>2</v>
      </c>
      <c r="K413" s="6">
        <v>1</v>
      </c>
      <c r="L413" s="6">
        <v>15</v>
      </c>
      <c r="M413" s="6">
        <v>163439</v>
      </c>
      <c r="N413" s="6">
        <v>3268780</v>
      </c>
      <c r="O413" s="6">
        <v>46</v>
      </c>
      <c r="P413" s="7">
        <v>2789.6507999999999</v>
      </c>
      <c r="Q413" s="7">
        <v>11730.357</v>
      </c>
      <c r="R413" s="9">
        <f>D413*VLOOKUP(1001,적!$A$4:$D$13,3,FALSE)</f>
        <v>157531.2848928</v>
      </c>
      <c r="S413" s="9">
        <f>D413*VLOOKUP(F413,보스!$A$4:$E$5,4,FALSE)</f>
        <v>5671126.2561408002</v>
      </c>
    </row>
    <row r="414" spans="1:19" ht="21.95" customHeight="1">
      <c r="A414" s="6">
        <v>5411</v>
      </c>
      <c r="B414" s="2" t="s">
        <v>562</v>
      </c>
      <c r="C414" s="6">
        <v>411</v>
      </c>
      <c r="D414" s="7">
        <v>79252.308955999993</v>
      </c>
      <c r="E414" s="2" t="s">
        <v>152</v>
      </c>
      <c r="F414" s="6">
        <v>2001</v>
      </c>
      <c r="G414" s="6">
        <v>5</v>
      </c>
      <c r="H414" s="7">
        <v>30</v>
      </c>
      <c r="I414" s="6">
        <v>5</v>
      </c>
      <c r="J414" s="6">
        <v>2</v>
      </c>
      <c r="K414" s="6">
        <v>1</v>
      </c>
      <c r="L414" s="6">
        <v>15</v>
      </c>
      <c r="M414" s="6">
        <v>163846</v>
      </c>
      <c r="N414" s="6">
        <v>3276920</v>
      </c>
      <c r="O414" s="6">
        <v>46</v>
      </c>
      <c r="P414" s="7">
        <v>2801.5201999999999</v>
      </c>
      <c r="Q414" s="7">
        <v>11780.264499999999</v>
      </c>
      <c r="R414" s="9">
        <f>D414*VLOOKUP(1001,적!$A$4:$D$13,3,FALSE)</f>
        <v>158504.61791199999</v>
      </c>
      <c r="S414" s="9">
        <f>D414*VLOOKUP(F414,보스!$A$4:$E$5,4,FALSE)</f>
        <v>5706166.2448319998</v>
      </c>
    </row>
    <row r="415" spans="1:19" ht="21.95" customHeight="1">
      <c r="A415" s="6">
        <v>5412</v>
      </c>
      <c r="B415" s="2" t="s">
        <v>563</v>
      </c>
      <c r="C415" s="6">
        <v>412</v>
      </c>
      <c r="D415" s="7">
        <v>79741.24750456</v>
      </c>
      <c r="E415" s="2" t="s">
        <v>152</v>
      </c>
      <c r="F415" s="6">
        <v>2002</v>
      </c>
      <c r="G415" s="6">
        <v>5</v>
      </c>
      <c r="H415" s="7">
        <v>30</v>
      </c>
      <c r="I415" s="6">
        <v>5</v>
      </c>
      <c r="J415" s="6">
        <v>2</v>
      </c>
      <c r="K415" s="6">
        <v>1</v>
      </c>
      <c r="L415" s="6">
        <v>15</v>
      </c>
      <c r="M415" s="6">
        <v>164253</v>
      </c>
      <c r="N415" s="6">
        <v>3285060</v>
      </c>
      <c r="O415" s="6">
        <v>46</v>
      </c>
      <c r="P415" s="7">
        <v>2813.4142400000001</v>
      </c>
      <c r="Q415" s="7">
        <v>11830.275600000001</v>
      </c>
      <c r="R415" s="9">
        <f>D415*VLOOKUP(1001,적!$A$4:$D$13,3,FALSE)</f>
        <v>159482.49500912</v>
      </c>
      <c r="S415" s="9">
        <f>D415*VLOOKUP(F415,보스!$A$4:$E$5,4,FALSE)</f>
        <v>5741369.8203283204</v>
      </c>
    </row>
    <row r="416" spans="1:19" ht="21.95" customHeight="1">
      <c r="A416" s="6">
        <v>5413</v>
      </c>
      <c r="B416" s="2" t="s">
        <v>564</v>
      </c>
      <c r="C416" s="6">
        <v>413</v>
      </c>
      <c r="D416" s="7">
        <v>80232.465983999995</v>
      </c>
      <c r="E416" s="2" t="s">
        <v>152</v>
      </c>
      <c r="F416" s="6">
        <v>2001</v>
      </c>
      <c r="G416" s="6">
        <v>5</v>
      </c>
      <c r="H416" s="7">
        <v>30</v>
      </c>
      <c r="I416" s="6">
        <v>5</v>
      </c>
      <c r="J416" s="6">
        <v>2</v>
      </c>
      <c r="K416" s="6">
        <v>1</v>
      </c>
      <c r="L416" s="6">
        <v>15</v>
      </c>
      <c r="M416" s="6">
        <v>164660</v>
      </c>
      <c r="N416" s="6">
        <v>3293200</v>
      </c>
      <c r="O416" s="6">
        <v>46</v>
      </c>
      <c r="P416" s="7">
        <v>2825.3329199999998</v>
      </c>
      <c r="Q416" s="7">
        <v>11880.390299999999</v>
      </c>
      <c r="R416" s="9">
        <f>D416*VLOOKUP(1001,적!$A$4:$D$13,3,FALSE)</f>
        <v>160464.93196799999</v>
      </c>
      <c r="S416" s="9">
        <f>D416*VLOOKUP(F416,보스!$A$4:$E$5,4,FALSE)</f>
        <v>5776737.5508479998</v>
      </c>
    </row>
    <row r="417" spans="1:19" ht="21.95" customHeight="1">
      <c r="A417" s="6">
        <v>5414</v>
      </c>
      <c r="B417" s="2" t="s">
        <v>565</v>
      </c>
      <c r="C417" s="6">
        <v>414</v>
      </c>
      <c r="D417" s="7">
        <v>80725.97230352</v>
      </c>
      <c r="E417" s="2" t="s">
        <v>152</v>
      </c>
      <c r="F417" s="6">
        <v>2002</v>
      </c>
      <c r="G417" s="6">
        <v>5</v>
      </c>
      <c r="H417" s="7">
        <v>30</v>
      </c>
      <c r="I417" s="6">
        <v>5</v>
      </c>
      <c r="J417" s="6">
        <v>2</v>
      </c>
      <c r="K417" s="6">
        <v>1</v>
      </c>
      <c r="L417" s="6">
        <v>15</v>
      </c>
      <c r="M417" s="6">
        <v>165067</v>
      </c>
      <c r="N417" s="6">
        <v>3301340</v>
      </c>
      <c r="O417" s="6">
        <v>46</v>
      </c>
      <c r="P417" s="7">
        <v>2837.2762400000001</v>
      </c>
      <c r="Q417" s="7">
        <v>11930.6086</v>
      </c>
      <c r="R417" s="9">
        <f>D417*VLOOKUP(1001,적!$A$4:$D$13,3,FALSE)</f>
        <v>161451.94460704</v>
      </c>
      <c r="S417" s="9">
        <f>D417*VLOOKUP(F417,보스!$A$4:$E$5,4,FALSE)</f>
        <v>5812270.0058534397</v>
      </c>
    </row>
    <row r="418" spans="1:19" ht="21.95" customHeight="1">
      <c r="A418" s="6">
        <v>5415</v>
      </c>
      <c r="B418" s="2" t="s">
        <v>566</v>
      </c>
      <c r="C418" s="6">
        <v>415</v>
      </c>
      <c r="D418" s="7">
        <v>81221.774389600003</v>
      </c>
      <c r="E418" s="2" t="s">
        <v>152</v>
      </c>
      <c r="F418" s="6">
        <v>2001</v>
      </c>
      <c r="G418" s="6">
        <v>5</v>
      </c>
      <c r="H418" s="7">
        <v>30</v>
      </c>
      <c r="I418" s="6">
        <v>5</v>
      </c>
      <c r="J418" s="6">
        <v>2</v>
      </c>
      <c r="K418" s="6">
        <v>1</v>
      </c>
      <c r="L418" s="6">
        <v>15</v>
      </c>
      <c r="M418" s="6">
        <v>165474</v>
      </c>
      <c r="N418" s="6">
        <v>3309480</v>
      </c>
      <c r="O418" s="6">
        <v>46</v>
      </c>
      <c r="P418" s="7">
        <v>2849.2442000000001</v>
      </c>
      <c r="Q418" s="7">
        <v>11980.9305</v>
      </c>
      <c r="R418" s="9">
        <f>D418*VLOOKUP(1001,적!$A$4:$D$13,3,FALSE)</f>
        <v>162443.54877920001</v>
      </c>
      <c r="S418" s="9">
        <f>D418*VLOOKUP(F418,보스!$A$4:$E$5,4,FALSE)</f>
        <v>5847967.7560512004</v>
      </c>
    </row>
    <row r="419" spans="1:19" ht="21.95" customHeight="1">
      <c r="A419" s="6">
        <v>5416</v>
      </c>
      <c r="B419" s="2" t="s">
        <v>567</v>
      </c>
      <c r="C419" s="6">
        <v>416</v>
      </c>
      <c r="D419" s="7">
        <v>81719.880185999995</v>
      </c>
      <c r="E419" s="2" t="s">
        <v>152</v>
      </c>
      <c r="F419" s="6">
        <v>2002</v>
      </c>
      <c r="G419" s="6">
        <v>5</v>
      </c>
      <c r="H419" s="7">
        <v>30</v>
      </c>
      <c r="I419" s="6">
        <v>5</v>
      </c>
      <c r="J419" s="6">
        <v>2</v>
      </c>
      <c r="K419" s="6">
        <v>1</v>
      </c>
      <c r="L419" s="6">
        <v>15</v>
      </c>
      <c r="M419" s="6">
        <v>165880</v>
      </c>
      <c r="N419" s="6">
        <v>3317600</v>
      </c>
      <c r="O419" s="6">
        <v>46</v>
      </c>
      <c r="P419" s="7">
        <v>2861.2368000000001</v>
      </c>
      <c r="Q419" s="7">
        <v>12031.356</v>
      </c>
      <c r="R419" s="9">
        <f>D419*VLOOKUP(1001,적!$A$4:$D$13,3,FALSE)</f>
        <v>163439.76037199999</v>
      </c>
      <c r="S419" s="9">
        <f>D419*VLOOKUP(F419,보스!$A$4:$E$5,4,FALSE)</f>
        <v>5883831.3733919999</v>
      </c>
    </row>
    <row r="420" spans="1:19" ht="21.95" customHeight="1">
      <c r="A420" s="6">
        <v>5417</v>
      </c>
      <c r="B420" s="2" t="s">
        <v>568</v>
      </c>
      <c r="C420" s="6">
        <v>417</v>
      </c>
      <c r="D420" s="7">
        <v>82220.297653760004</v>
      </c>
      <c r="E420" s="2" t="s">
        <v>152</v>
      </c>
      <c r="F420" s="6">
        <v>2001</v>
      </c>
      <c r="G420" s="6">
        <v>5</v>
      </c>
      <c r="H420" s="7">
        <v>30</v>
      </c>
      <c r="I420" s="6">
        <v>5</v>
      </c>
      <c r="J420" s="6">
        <v>2</v>
      </c>
      <c r="K420" s="6">
        <v>1</v>
      </c>
      <c r="L420" s="6">
        <v>15</v>
      </c>
      <c r="M420" s="6">
        <v>166287</v>
      </c>
      <c r="N420" s="6">
        <v>3325740</v>
      </c>
      <c r="O420" s="6">
        <v>46</v>
      </c>
      <c r="P420" s="7">
        <v>2873.2540399999998</v>
      </c>
      <c r="Q420" s="7">
        <v>12081.8851</v>
      </c>
      <c r="R420" s="9">
        <f>D420*VLOOKUP(1001,적!$A$4:$D$13,3,FALSE)</f>
        <v>164440.59530752001</v>
      </c>
      <c r="S420" s="9">
        <f>D420*VLOOKUP(F420,보스!$A$4:$E$5,4,FALSE)</f>
        <v>5919861.4310707208</v>
      </c>
    </row>
    <row r="421" spans="1:19" ht="21.95" customHeight="1">
      <c r="A421" s="6">
        <v>5418</v>
      </c>
      <c r="B421" s="2" t="s">
        <v>569</v>
      </c>
      <c r="C421" s="6">
        <v>418</v>
      </c>
      <c r="D421" s="7">
        <v>82723.034771199993</v>
      </c>
      <c r="E421" s="2" t="s">
        <v>152</v>
      </c>
      <c r="F421" s="6">
        <v>2002</v>
      </c>
      <c r="G421" s="6">
        <v>5</v>
      </c>
      <c r="H421" s="7">
        <v>30</v>
      </c>
      <c r="I421" s="6">
        <v>5</v>
      </c>
      <c r="J421" s="6">
        <v>2</v>
      </c>
      <c r="K421" s="6">
        <v>1</v>
      </c>
      <c r="L421" s="6">
        <v>15</v>
      </c>
      <c r="M421" s="6">
        <v>166694</v>
      </c>
      <c r="N421" s="6">
        <v>3333880</v>
      </c>
      <c r="O421" s="6">
        <v>46</v>
      </c>
      <c r="P421" s="7">
        <v>2885.29592</v>
      </c>
      <c r="Q421" s="7">
        <v>12132.5178</v>
      </c>
      <c r="R421" s="9">
        <f>D421*VLOOKUP(1001,적!$A$4:$D$13,3,FALSE)</f>
        <v>165446.06954239999</v>
      </c>
      <c r="S421" s="9">
        <f>D421*VLOOKUP(F421,보스!$A$4:$E$5,4,FALSE)</f>
        <v>5956058.5035263998</v>
      </c>
    </row>
    <row r="422" spans="1:19" ht="21.95" customHeight="1">
      <c r="A422" s="6">
        <v>5419</v>
      </c>
      <c r="B422" s="2" t="s">
        <v>570</v>
      </c>
      <c r="C422" s="6">
        <v>419</v>
      </c>
      <c r="D422" s="7">
        <v>83228.099533920002</v>
      </c>
      <c r="E422" s="2" t="s">
        <v>152</v>
      </c>
      <c r="F422" s="6">
        <v>2001</v>
      </c>
      <c r="G422" s="6">
        <v>5</v>
      </c>
      <c r="H422" s="7">
        <v>30</v>
      </c>
      <c r="I422" s="6">
        <v>5</v>
      </c>
      <c r="J422" s="6">
        <v>2</v>
      </c>
      <c r="K422" s="6">
        <v>1</v>
      </c>
      <c r="L422" s="6">
        <v>15</v>
      </c>
      <c r="M422" s="6">
        <v>167101</v>
      </c>
      <c r="N422" s="6">
        <v>3342020</v>
      </c>
      <c r="O422" s="6">
        <v>46</v>
      </c>
      <c r="P422" s="7">
        <v>2897.3624399999999</v>
      </c>
      <c r="Q422" s="7">
        <v>12183.2541</v>
      </c>
      <c r="R422" s="9">
        <f>D422*VLOOKUP(1001,적!$A$4:$D$13,3,FALSE)</f>
        <v>166456.19906784</v>
      </c>
      <c r="S422" s="9">
        <f>D422*VLOOKUP(F422,보스!$A$4:$E$5,4,FALSE)</f>
        <v>5992423.1664422397</v>
      </c>
    </row>
    <row r="423" spans="1:19" ht="21.95" customHeight="1">
      <c r="A423" s="6">
        <v>5420</v>
      </c>
      <c r="B423" s="2" t="s">
        <v>571</v>
      </c>
      <c r="C423" s="6">
        <v>420</v>
      </c>
      <c r="D423" s="7">
        <v>83735.499954800005</v>
      </c>
      <c r="E423" s="2" t="s">
        <v>152</v>
      </c>
      <c r="F423" s="6">
        <v>2002</v>
      </c>
      <c r="G423" s="6">
        <v>5</v>
      </c>
      <c r="H423" s="7">
        <v>30</v>
      </c>
      <c r="I423" s="6">
        <v>5</v>
      </c>
      <c r="J423" s="6">
        <v>2</v>
      </c>
      <c r="K423" s="6">
        <v>1</v>
      </c>
      <c r="L423" s="6">
        <v>15</v>
      </c>
      <c r="M423" s="6">
        <v>167508</v>
      </c>
      <c r="N423" s="6">
        <v>3350160</v>
      </c>
      <c r="O423" s="6">
        <v>47</v>
      </c>
      <c r="P423" s="7">
        <v>2909.4535999999998</v>
      </c>
      <c r="Q423" s="7">
        <v>12234.093999999999</v>
      </c>
      <c r="R423" s="9">
        <f>D423*VLOOKUP(1001,적!$A$4:$D$13,3,FALSE)</f>
        <v>167470.99990960001</v>
      </c>
      <c r="S423" s="9">
        <f>D423*VLOOKUP(F423,보스!$A$4:$E$5,4,FALSE)</f>
        <v>6028955.9967456004</v>
      </c>
    </row>
    <row r="424" spans="1:19" ht="21.95" customHeight="1">
      <c r="A424" s="6">
        <v>5421</v>
      </c>
      <c r="B424" s="2" t="s">
        <v>572</v>
      </c>
      <c r="C424" s="6">
        <v>421</v>
      </c>
      <c r="D424" s="7">
        <v>84245.244063999999</v>
      </c>
      <c r="E424" s="2" t="s">
        <v>152</v>
      </c>
      <c r="F424" s="6">
        <v>2001</v>
      </c>
      <c r="G424" s="6">
        <v>5</v>
      </c>
      <c r="H424" s="7">
        <v>30</v>
      </c>
      <c r="I424" s="6">
        <v>5</v>
      </c>
      <c r="J424" s="6">
        <v>2</v>
      </c>
      <c r="K424" s="6">
        <v>1</v>
      </c>
      <c r="L424" s="6">
        <v>15</v>
      </c>
      <c r="M424" s="6">
        <v>167914</v>
      </c>
      <c r="N424" s="6">
        <v>3358280</v>
      </c>
      <c r="O424" s="6">
        <v>47</v>
      </c>
      <c r="P424" s="7">
        <v>2921.5693999999999</v>
      </c>
      <c r="Q424" s="7">
        <v>12285.0375</v>
      </c>
      <c r="R424" s="9">
        <f>D424*VLOOKUP(1001,적!$A$4:$D$13,3,FALSE)</f>
        <v>168490.488128</v>
      </c>
      <c r="S424" s="9">
        <f>D424*VLOOKUP(F424,보스!$A$4:$E$5,4,FALSE)</f>
        <v>6065657.5726079997</v>
      </c>
    </row>
    <row r="425" spans="1:19" ht="21.95" customHeight="1">
      <c r="A425" s="6">
        <v>5422</v>
      </c>
      <c r="B425" s="2" t="s">
        <v>573</v>
      </c>
      <c r="C425" s="6">
        <v>422</v>
      </c>
      <c r="D425" s="7">
        <v>84757.339908959999</v>
      </c>
      <c r="E425" s="2" t="s">
        <v>152</v>
      </c>
      <c r="F425" s="6">
        <v>2002</v>
      </c>
      <c r="G425" s="6">
        <v>5</v>
      </c>
      <c r="H425" s="7">
        <v>30</v>
      </c>
      <c r="I425" s="6">
        <v>5</v>
      </c>
      <c r="J425" s="6">
        <v>2</v>
      </c>
      <c r="K425" s="6">
        <v>1</v>
      </c>
      <c r="L425" s="6">
        <v>15</v>
      </c>
      <c r="M425" s="6">
        <v>168321</v>
      </c>
      <c r="N425" s="6">
        <v>3366420</v>
      </c>
      <c r="O425" s="6">
        <v>47</v>
      </c>
      <c r="P425" s="7">
        <v>2933.70984</v>
      </c>
      <c r="Q425" s="7">
        <v>12336.0846</v>
      </c>
      <c r="R425" s="9">
        <f>D425*VLOOKUP(1001,적!$A$4:$D$13,3,FALSE)</f>
        <v>169514.67981792</v>
      </c>
      <c r="S425" s="9">
        <f>D425*VLOOKUP(F425,보스!$A$4:$E$5,4,FALSE)</f>
        <v>6102528.4734451203</v>
      </c>
    </row>
    <row r="426" spans="1:19" ht="21.95" customHeight="1">
      <c r="A426" s="6">
        <v>5423</v>
      </c>
      <c r="B426" s="2" t="s">
        <v>574</v>
      </c>
      <c r="C426" s="6">
        <v>423</v>
      </c>
      <c r="D426" s="7">
        <v>85271.7955544</v>
      </c>
      <c r="E426" s="2" t="s">
        <v>152</v>
      </c>
      <c r="F426" s="6">
        <v>2001</v>
      </c>
      <c r="G426" s="6">
        <v>5</v>
      </c>
      <c r="H426" s="7">
        <v>30</v>
      </c>
      <c r="I426" s="6">
        <v>5</v>
      </c>
      <c r="J426" s="6">
        <v>2</v>
      </c>
      <c r="K426" s="6">
        <v>1</v>
      </c>
      <c r="L426" s="6">
        <v>15</v>
      </c>
      <c r="M426" s="6">
        <v>168728</v>
      </c>
      <c r="N426" s="6">
        <v>3374560</v>
      </c>
      <c r="O426" s="6">
        <v>47</v>
      </c>
      <c r="P426" s="7">
        <v>2945.8749200000002</v>
      </c>
      <c r="Q426" s="7">
        <v>12387.2353</v>
      </c>
      <c r="R426" s="9">
        <f>D426*VLOOKUP(1001,적!$A$4:$D$13,3,FALSE)</f>
        <v>170543.5911088</v>
      </c>
      <c r="S426" s="9">
        <f>D426*VLOOKUP(F426,보스!$A$4:$E$5,4,FALSE)</f>
        <v>6139569.2799167996</v>
      </c>
    </row>
    <row r="427" spans="1:19" ht="21.95" customHeight="1">
      <c r="A427" s="6">
        <v>5424</v>
      </c>
      <c r="B427" s="2" t="s">
        <v>575</v>
      </c>
      <c r="C427" s="6">
        <v>424</v>
      </c>
      <c r="D427" s="7">
        <v>85788.619082320001</v>
      </c>
      <c r="E427" s="2" t="s">
        <v>152</v>
      </c>
      <c r="F427" s="6">
        <v>2002</v>
      </c>
      <c r="G427" s="6">
        <v>5</v>
      </c>
      <c r="H427" s="7">
        <v>30</v>
      </c>
      <c r="I427" s="6">
        <v>5</v>
      </c>
      <c r="J427" s="6">
        <v>2</v>
      </c>
      <c r="K427" s="6">
        <v>1</v>
      </c>
      <c r="L427" s="6">
        <v>15</v>
      </c>
      <c r="M427" s="6">
        <v>169135</v>
      </c>
      <c r="N427" s="6">
        <v>3382700</v>
      </c>
      <c r="O427" s="6">
        <v>47</v>
      </c>
      <c r="P427" s="7">
        <v>2958.0646400000001</v>
      </c>
      <c r="Q427" s="7">
        <v>12438.489600000001</v>
      </c>
      <c r="R427" s="9">
        <f>D427*VLOOKUP(1001,적!$A$4:$D$13,3,FALSE)</f>
        <v>171577.23816464</v>
      </c>
      <c r="S427" s="9">
        <f>D427*VLOOKUP(F427,보스!$A$4:$E$5,4,FALSE)</f>
        <v>6176780.5739270402</v>
      </c>
    </row>
    <row r="428" spans="1:19" ht="21.95" customHeight="1">
      <c r="A428" s="6">
        <v>5425</v>
      </c>
      <c r="B428" s="2" t="s">
        <v>576</v>
      </c>
      <c r="C428" s="6">
        <v>425</v>
      </c>
      <c r="D428" s="7">
        <v>86307.818591999996</v>
      </c>
      <c r="E428" s="2" t="s">
        <v>152</v>
      </c>
      <c r="F428" s="6">
        <v>2001</v>
      </c>
      <c r="G428" s="6">
        <v>5</v>
      </c>
      <c r="H428" s="7">
        <v>30</v>
      </c>
      <c r="I428" s="6">
        <v>5</v>
      </c>
      <c r="J428" s="6">
        <v>2</v>
      </c>
      <c r="K428" s="6">
        <v>1</v>
      </c>
      <c r="L428" s="6">
        <v>15</v>
      </c>
      <c r="M428" s="6">
        <v>169541</v>
      </c>
      <c r="N428" s="6">
        <v>3390820</v>
      </c>
      <c r="O428" s="6">
        <v>47</v>
      </c>
      <c r="P428" s="7">
        <v>2970.279</v>
      </c>
      <c r="Q428" s="7">
        <v>12489.8475</v>
      </c>
      <c r="R428" s="9">
        <f>D428*VLOOKUP(1001,적!$A$4:$D$13,3,FALSE)</f>
        <v>172615.63718399999</v>
      </c>
      <c r="S428" s="9">
        <f>D428*VLOOKUP(F428,보스!$A$4:$E$5,4,FALSE)</f>
        <v>6214162.9386240002</v>
      </c>
    </row>
    <row r="429" spans="1:19" ht="21.95" customHeight="1">
      <c r="A429" s="6">
        <v>5426</v>
      </c>
      <c r="B429" s="2" t="s">
        <v>577</v>
      </c>
      <c r="C429" s="6">
        <v>426</v>
      </c>
      <c r="D429" s="7">
        <v>86829.402199999997</v>
      </c>
      <c r="E429" s="2" t="s">
        <v>152</v>
      </c>
      <c r="F429" s="6">
        <v>2002</v>
      </c>
      <c r="G429" s="6">
        <v>5</v>
      </c>
      <c r="H429" s="7">
        <v>30</v>
      </c>
      <c r="I429" s="6">
        <v>5</v>
      </c>
      <c r="J429" s="6">
        <v>2</v>
      </c>
      <c r="K429" s="6">
        <v>1</v>
      </c>
      <c r="L429" s="6">
        <v>15</v>
      </c>
      <c r="M429" s="6">
        <v>169948</v>
      </c>
      <c r="N429" s="6">
        <v>3398960</v>
      </c>
      <c r="O429" s="6">
        <v>47</v>
      </c>
      <c r="P429" s="7">
        <v>2982.518</v>
      </c>
      <c r="Q429" s="7">
        <v>12541.308999999999</v>
      </c>
      <c r="R429" s="9">
        <f>D429*VLOOKUP(1001,적!$A$4:$D$13,3,FALSE)</f>
        <v>173658.80439999999</v>
      </c>
      <c r="S429" s="9">
        <f>D429*VLOOKUP(F429,보스!$A$4:$E$5,4,FALSE)</f>
        <v>6251716.9583999999</v>
      </c>
    </row>
    <row r="430" spans="1:19" ht="21.95" customHeight="1">
      <c r="A430" s="6">
        <v>5427</v>
      </c>
      <c r="B430" s="2" t="s">
        <v>578</v>
      </c>
      <c r="C430" s="6">
        <v>427</v>
      </c>
      <c r="D430" s="7">
        <v>87353.378040159994</v>
      </c>
      <c r="E430" s="2" t="s">
        <v>152</v>
      </c>
      <c r="F430" s="6">
        <v>2001</v>
      </c>
      <c r="G430" s="6">
        <v>5</v>
      </c>
      <c r="H430" s="7">
        <v>30</v>
      </c>
      <c r="I430" s="6">
        <v>5</v>
      </c>
      <c r="J430" s="6">
        <v>2</v>
      </c>
      <c r="K430" s="6">
        <v>1</v>
      </c>
      <c r="L430" s="6">
        <v>15</v>
      </c>
      <c r="M430" s="6">
        <v>170355</v>
      </c>
      <c r="N430" s="6">
        <v>3407100</v>
      </c>
      <c r="O430" s="6">
        <v>47</v>
      </c>
      <c r="P430" s="7">
        <v>2994.7816400000002</v>
      </c>
      <c r="Q430" s="7">
        <v>12592.874100000001</v>
      </c>
      <c r="R430" s="9">
        <f>D430*VLOOKUP(1001,적!$A$4:$D$13,3,FALSE)</f>
        <v>174706.75608031999</v>
      </c>
      <c r="S430" s="9">
        <f>D430*VLOOKUP(F430,보스!$A$4:$E$5,4,FALSE)</f>
        <v>6289443.2188915201</v>
      </c>
    </row>
    <row r="431" spans="1:19" ht="21.95" customHeight="1">
      <c r="A431" s="6">
        <v>5428</v>
      </c>
      <c r="B431" s="2" t="s">
        <v>579</v>
      </c>
      <c r="C431" s="6">
        <v>428</v>
      </c>
      <c r="D431" s="7">
        <v>87879.7542636</v>
      </c>
      <c r="E431" s="2" t="s">
        <v>152</v>
      </c>
      <c r="F431" s="6">
        <v>2002</v>
      </c>
      <c r="G431" s="6">
        <v>5</v>
      </c>
      <c r="H431" s="7">
        <v>30</v>
      </c>
      <c r="I431" s="6">
        <v>5</v>
      </c>
      <c r="J431" s="6">
        <v>2</v>
      </c>
      <c r="K431" s="6">
        <v>1</v>
      </c>
      <c r="L431" s="6">
        <v>15</v>
      </c>
      <c r="M431" s="6">
        <v>170762</v>
      </c>
      <c r="N431" s="6">
        <v>3415240</v>
      </c>
      <c r="O431" s="6">
        <v>47</v>
      </c>
      <c r="P431" s="7">
        <v>3007.0699199999999</v>
      </c>
      <c r="Q431" s="7">
        <v>12644.542799999999</v>
      </c>
      <c r="R431" s="9">
        <f>D431*VLOOKUP(1001,적!$A$4:$D$13,3,FALSE)</f>
        <v>175759.5085272</v>
      </c>
      <c r="S431" s="9">
        <f>D431*VLOOKUP(F431,보스!$A$4:$E$5,4,FALSE)</f>
        <v>6327342.3069791999</v>
      </c>
    </row>
    <row r="432" spans="1:19" ht="21.95" customHeight="1">
      <c r="A432" s="6">
        <v>5429</v>
      </c>
      <c r="B432" s="2" t="s">
        <v>580</v>
      </c>
      <c r="C432" s="6">
        <v>429</v>
      </c>
      <c r="D432" s="7">
        <v>88408.539038720002</v>
      </c>
      <c r="E432" s="2" t="s">
        <v>152</v>
      </c>
      <c r="F432" s="6">
        <v>2001</v>
      </c>
      <c r="G432" s="6">
        <v>5</v>
      </c>
      <c r="H432" s="7">
        <v>30</v>
      </c>
      <c r="I432" s="6">
        <v>5</v>
      </c>
      <c r="J432" s="6">
        <v>2</v>
      </c>
      <c r="K432" s="6">
        <v>1</v>
      </c>
      <c r="L432" s="6">
        <v>15</v>
      </c>
      <c r="M432" s="6">
        <v>171168</v>
      </c>
      <c r="N432" s="6">
        <v>3423360</v>
      </c>
      <c r="O432" s="6">
        <v>47</v>
      </c>
      <c r="P432" s="7">
        <v>3019.3828400000002</v>
      </c>
      <c r="Q432" s="7">
        <v>12696.3151</v>
      </c>
      <c r="R432" s="9">
        <f>D432*VLOOKUP(1001,적!$A$4:$D$13,3,FALSE)</f>
        <v>176817.07807744</v>
      </c>
      <c r="S432" s="9">
        <f>D432*VLOOKUP(F432,보스!$A$4:$E$5,4,FALSE)</f>
        <v>6365414.8107878398</v>
      </c>
    </row>
    <row r="433" spans="1:19" ht="21.95" customHeight="1">
      <c r="A433" s="6">
        <v>5430</v>
      </c>
      <c r="B433" s="2" t="s">
        <v>581</v>
      </c>
      <c r="C433" s="6">
        <v>430</v>
      </c>
      <c r="D433" s="7">
        <v>88939.740551199997</v>
      </c>
      <c r="E433" s="2" t="s">
        <v>152</v>
      </c>
      <c r="F433" s="6">
        <v>2002</v>
      </c>
      <c r="G433" s="6">
        <v>5</v>
      </c>
      <c r="H433" s="7">
        <v>30</v>
      </c>
      <c r="I433" s="6">
        <v>5</v>
      </c>
      <c r="J433" s="6">
        <v>2</v>
      </c>
      <c r="K433" s="6">
        <v>1</v>
      </c>
      <c r="L433" s="6">
        <v>15</v>
      </c>
      <c r="M433" s="6">
        <v>171575</v>
      </c>
      <c r="N433" s="6">
        <v>3431500</v>
      </c>
      <c r="O433" s="6">
        <v>48</v>
      </c>
      <c r="P433" s="7">
        <v>3031.7204000000002</v>
      </c>
      <c r="Q433" s="7">
        <v>12748.191000000001</v>
      </c>
      <c r="R433" s="9">
        <f>D433*VLOOKUP(1001,적!$A$4:$D$13,3,FALSE)</f>
        <v>177879.48110239999</v>
      </c>
      <c r="S433" s="9">
        <f>D433*VLOOKUP(F433,보스!$A$4:$E$5,4,FALSE)</f>
        <v>6403661.3196863998</v>
      </c>
    </row>
    <row r="434" spans="1:19" ht="21.95" customHeight="1">
      <c r="A434" s="6">
        <v>5431</v>
      </c>
      <c r="B434" s="2" t="s">
        <v>582</v>
      </c>
      <c r="C434" s="6">
        <v>431</v>
      </c>
      <c r="D434" s="7">
        <v>89473.367004</v>
      </c>
      <c r="E434" s="2" t="s">
        <v>152</v>
      </c>
      <c r="F434" s="6">
        <v>2001</v>
      </c>
      <c r="G434" s="6">
        <v>5</v>
      </c>
      <c r="H434" s="7">
        <v>30</v>
      </c>
      <c r="I434" s="6">
        <v>5</v>
      </c>
      <c r="J434" s="6">
        <v>2</v>
      </c>
      <c r="K434" s="6">
        <v>1</v>
      </c>
      <c r="L434" s="6">
        <v>15</v>
      </c>
      <c r="M434" s="6">
        <v>171982</v>
      </c>
      <c r="N434" s="6">
        <v>3439640</v>
      </c>
      <c r="O434" s="6">
        <v>48</v>
      </c>
      <c r="P434" s="7">
        <v>3044.0826000000002</v>
      </c>
      <c r="Q434" s="7">
        <v>12800.1705</v>
      </c>
      <c r="R434" s="9">
        <f>D434*VLOOKUP(1001,적!$A$4:$D$13,3,FALSE)</f>
        <v>178946.734008</v>
      </c>
      <c r="S434" s="9">
        <f>D434*VLOOKUP(F434,보스!$A$4:$E$5,4,FALSE)</f>
        <v>6442082.424288</v>
      </c>
    </row>
    <row r="435" spans="1:19" ht="21.95" customHeight="1">
      <c r="A435" s="6">
        <v>5432</v>
      </c>
      <c r="B435" s="2" t="s">
        <v>583</v>
      </c>
      <c r="C435" s="6">
        <v>432</v>
      </c>
      <c r="D435" s="7">
        <v>90009.426617360004</v>
      </c>
      <c r="E435" s="2" t="s">
        <v>152</v>
      </c>
      <c r="F435" s="6">
        <v>2002</v>
      </c>
      <c r="G435" s="6">
        <v>5</v>
      </c>
      <c r="H435" s="7">
        <v>30</v>
      </c>
      <c r="I435" s="6">
        <v>5</v>
      </c>
      <c r="J435" s="6">
        <v>2</v>
      </c>
      <c r="K435" s="6">
        <v>1</v>
      </c>
      <c r="L435" s="6">
        <v>15</v>
      </c>
      <c r="M435" s="6">
        <v>172388</v>
      </c>
      <c r="N435" s="6">
        <v>3447760</v>
      </c>
      <c r="O435" s="6">
        <v>48</v>
      </c>
      <c r="P435" s="7">
        <v>3056.4694399999998</v>
      </c>
      <c r="Q435" s="7">
        <v>12852.2536</v>
      </c>
      <c r="R435" s="9">
        <f>D435*VLOOKUP(1001,적!$A$4:$D$13,3,FALSE)</f>
        <v>180018.85323472001</v>
      </c>
      <c r="S435" s="9">
        <f>D435*VLOOKUP(F435,보스!$A$4:$E$5,4,FALSE)</f>
        <v>6480678.7164499201</v>
      </c>
    </row>
    <row r="436" spans="1:19" ht="21.95" customHeight="1">
      <c r="A436" s="6">
        <v>5433</v>
      </c>
      <c r="B436" s="2" t="s">
        <v>584</v>
      </c>
      <c r="C436" s="6">
        <v>433</v>
      </c>
      <c r="D436" s="7">
        <v>90547.927628799996</v>
      </c>
      <c r="E436" s="2" t="s">
        <v>152</v>
      </c>
      <c r="F436" s="6">
        <v>2001</v>
      </c>
      <c r="G436" s="6">
        <v>5</v>
      </c>
      <c r="H436" s="7">
        <v>30</v>
      </c>
      <c r="I436" s="6">
        <v>5</v>
      </c>
      <c r="J436" s="6">
        <v>2</v>
      </c>
      <c r="K436" s="6">
        <v>1</v>
      </c>
      <c r="L436" s="6">
        <v>15</v>
      </c>
      <c r="M436" s="6">
        <v>172795</v>
      </c>
      <c r="N436" s="6">
        <v>3455900</v>
      </c>
      <c r="O436" s="6">
        <v>48</v>
      </c>
      <c r="P436" s="7">
        <v>3068.8809200000001</v>
      </c>
      <c r="Q436" s="7">
        <v>12904.4403</v>
      </c>
      <c r="R436" s="9">
        <f>D436*VLOOKUP(1001,적!$A$4:$D$13,3,FALSE)</f>
        <v>181095.85525759999</v>
      </c>
      <c r="S436" s="9">
        <f>D436*VLOOKUP(F436,보스!$A$4:$E$5,4,FALSE)</f>
        <v>6519450.7892736001</v>
      </c>
    </row>
    <row r="437" spans="1:19" ht="21.95" customHeight="1">
      <c r="A437" s="6">
        <v>5434</v>
      </c>
      <c r="B437" s="2" t="s">
        <v>585</v>
      </c>
      <c r="C437" s="6">
        <v>434</v>
      </c>
      <c r="D437" s="7">
        <v>91088.878293119997</v>
      </c>
      <c r="E437" s="2" t="s">
        <v>152</v>
      </c>
      <c r="F437" s="6">
        <v>2002</v>
      </c>
      <c r="G437" s="6">
        <v>5</v>
      </c>
      <c r="H437" s="7">
        <v>30</v>
      </c>
      <c r="I437" s="6">
        <v>5</v>
      </c>
      <c r="J437" s="6">
        <v>2</v>
      </c>
      <c r="K437" s="6">
        <v>1</v>
      </c>
      <c r="L437" s="6">
        <v>15</v>
      </c>
      <c r="M437" s="6">
        <v>173202</v>
      </c>
      <c r="N437" s="6">
        <v>3464040</v>
      </c>
      <c r="O437" s="6">
        <v>48</v>
      </c>
      <c r="P437" s="7">
        <v>3081.3170399999999</v>
      </c>
      <c r="Q437" s="7">
        <v>12956.730600000001</v>
      </c>
      <c r="R437" s="9">
        <f>D437*VLOOKUP(1001,적!$A$4:$D$13,3,FALSE)</f>
        <v>182177.75658623999</v>
      </c>
      <c r="S437" s="9">
        <f>D437*VLOOKUP(F437,보스!$A$4:$E$5,4,FALSE)</f>
        <v>6558399.2371046394</v>
      </c>
    </row>
    <row r="438" spans="1:19" ht="21.95" customHeight="1">
      <c r="A438" s="6">
        <v>5435</v>
      </c>
      <c r="B438" s="2" t="s">
        <v>586</v>
      </c>
      <c r="C438" s="6">
        <v>435</v>
      </c>
      <c r="D438" s="7">
        <v>91632.286882400003</v>
      </c>
      <c r="E438" s="2" t="s">
        <v>152</v>
      </c>
      <c r="F438" s="6">
        <v>2001</v>
      </c>
      <c r="G438" s="6">
        <v>5</v>
      </c>
      <c r="H438" s="7">
        <v>30</v>
      </c>
      <c r="I438" s="6">
        <v>5</v>
      </c>
      <c r="J438" s="6">
        <v>2</v>
      </c>
      <c r="K438" s="6">
        <v>1</v>
      </c>
      <c r="L438" s="6">
        <v>15</v>
      </c>
      <c r="M438" s="6">
        <v>173608</v>
      </c>
      <c r="N438" s="6">
        <v>3472160</v>
      </c>
      <c r="O438" s="6">
        <v>48</v>
      </c>
      <c r="P438" s="7">
        <v>3093.7777999999998</v>
      </c>
      <c r="Q438" s="7">
        <v>13009.1245</v>
      </c>
      <c r="R438" s="9">
        <f>D438*VLOOKUP(1001,적!$A$4:$D$13,3,FALSE)</f>
        <v>183264.57376480001</v>
      </c>
      <c r="S438" s="9">
        <f>D438*VLOOKUP(F438,보스!$A$4:$E$5,4,FALSE)</f>
        <v>6597524.6555328006</v>
      </c>
    </row>
    <row r="439" spans="1:19" ht="21.95" customHeight="1">
      <c r="A439" s="6">
        <v>5436</v>
      </c>
      <c r="B439" s="2" t="s">
        <v>587</v>
      </c>
      <c r="C439" s="6">
        <v>436</v>
      </c>
      <c r="D439" s="7">
        <v>92178.161686000007</v>
      </c>
      <c r="E439" s="2" t="s">
        <v>152</v>
      </c>
      <c r="F439" s="6">
        <v>2002</v>
      </c>
      <c r="G439" s="6">
        <v>5</v>
      </c>
      <c r="H439" s="7">
        <v>30</v>
      </c>
      <c r="I439" s="6">
        <v>5</v>
      </c>
      <c r="J439" s="6">
        <v>2</v>
      </c>
      <c r="K439" s="6">
        <v>1</v>
      </c>
      <c r="L439" s="6">
        <v>15</v>
      </c>
      <c r="M439" s="6">
        <v>174015</v>
      </c>
      <c r="N439" s="6">
        <v>3480300</v>
      </c>
      <c r="O439" s="6">
        <v>48</v>
      </c>
      <c r="P439" s="7">
        <v>3106.2631999999999</v>
      </c>
      <c r="Q439" s="7">
        <v>13061.621999999999</v>
      </c>
      <c r="R439" s="9">
        <f>D439*VLOOKUP(1001,적!$A$4:$D$13,3,FALSE)</f>
        <v>184356.32337200001</v>
      </c>
      <c r="S439" s="9">
        <f>D439*VLOOKUP(F439,보스!$A$4:$E$5,4,FALSE)</f>
        <v>6636827.641392</v>
      </c>
    </row>
    <row r="440" spans="1:19" ht="21.95" customHeight="1">
      <c r="A440" s="6">
        <v>5437</v>
      </c>
      <c r="B440" s="2" t="s">
        <v>588</v>
      </c>
      <c r="C440" s="6">
        <v>437</v>
      </c>
      <c r="D440" s="7">
        <v>92726.511010560003</v>
      </c>
      <c r="E440" s="2" t="s">
        <v>152</v>
      </c>
      <c r="F440" s="6">
        <v>2001</v>
      </c>
      <c r="G440" s="6">
        <v>5</v>
      </c>
      <c r="H440" s="7">
        <v>30</v>
      </c>
      <c r="I440" s="6">
        <v>5</v>
      </c>
      <c r="J440" s="6">
        <v>2</v>
      </c>
      <c r="K440" s="6">
        <v>1</v>
      </c>
      <c r="L440" s="6">
        <v>15</v>
      </c>
      <c r="M440" s="6">
        <v>174422</v>
      </c>
      <c r="N440" s="6">
        <v>3488440</v>
      </c>
      <c r="O440" s="6">
        <v>48</v>
      </c>
      <c r="P440" s="7">
        <v>3118.77324</v>
      </c>
      <c r="Q440" s="7">
        <v>13114.223099999999</v>
      </c>
      <c r="R440" s="9">
        <f>D440*VLOOKUP(1001,적!$A$4:$D$13,3,FALSE)</f>
        <v>185453.02202112001</v>
      </c>
      <c r="S440" s="9">
        <f>D440*VLOOKUP(F440,보스!$A$4:$E$5,4,FALSE)</f>
        <v>6676308.79276032</v>
      </c>
    </row>
    <row r="441" spans="1:19" ht="21.95" customHeight="1">
      <c r="A441" s="6">
        <v>5438</v>
      </c>
      <c r="B441" s="2" t="s">
        <v>589</v>
      </c>
      <c r="C441" s="6">
        <v>438</v>
      </c>
      <c r="D441" s="7">
        <v>93277.343179999996</v>
      </c>
      <c r="E441" s="2" t="s">
        <v>152</v>
      </c>
      <c r="F441" s="6">
        <v>2002</v>
      </c>
      <c r="G441" s="6">
        <v>5</v>
      </c>
      <c r="H441" s="7">
        <v>30</v>
      </c>
      <c r="I441" s="6">
        <v>5</v>
      </c>
      <c r="J441" s="6">
        <v>2</v>
      </c>
      <c r="K441" s="6">
        <v>1</v>
      </c>
      <c r="L441" s="6">
        <v>15</v>
      </c>
      <c r="M441" s="6">
        <v>174828</v>
      </c>
      <c r="N441" s="6">
        <v>3496560</v>
      </c>
      <c r="O441" s="6">
        <v>48</v>
      </c>
      <c r="P441" s="7">
        <v>3131.3079200000002</v>
      </c>
      <c r="Q441" s="7">
        <v>13166.927799999999</v>
      </c>
      <c r="R441" s="9">
        <f>D441*VLOOKUP(1001,적!$A$4:$D$13,3,FALSE)</f>
        <v>186554.68635999999</v>
      </c>
      <c r="S441" s="9">
        <f>D441*VLOOKUP(F441,보스!$A$4:$E$5,4,FALSE)</f>
        <v>6715968.7089599995</v>
      </c>
    </row>
    <row r="442" spans="1:19" ht="21.95" customHeight="1">
      <c r="A442" s="6">
        <v>5439</v>
      </c>
      <c r="B442" s="2" t="s">
        <v>590</v>
      </c>
      <c r="C442" s="6">
        <v>439</v>
      </c>
      <c r="D442" s="7">
        <v>93830.666535519995</v>
      </c>
      <c r="E442" s="2" t="s">
        <v>152</v>
      </c>
      <c r="F442" s="6">
        <v>2001</v>
      </c>
      <c r="G442" s="6">
        <v>5</v>
      </c>
      <c r="H442" s="7">
        <v>30</v>
      </c>
      <c r="I442" s="6">
        <v>5</v>
      </c>
      <c r="J442" s="6">
        <v>2</v>
      </c>
      <c r="K442" s="6">
        <v>1</v>
      </c>
      <c r="L442" s="6">
        <v>15</v>
      </c>
      <c r="M442" s="6">
        <v>175235</v>
      </c>
      <c r="N442" s="6">
        <v>3504700</v>
      </c>
      <c r="O442" s="6">
        <v>48</v>
      </c>
      <c r="P442" s="7">
        <v>3143.86724</v>
      </c>
      <c r="Q442" s="7">
        <v>13219.7361</v>
      </c>
      <c r="R442" s="9">
        <f>D442*VLOOKUP(1001,적!$A$4:$D$13,3,FALSE)</f>
        <v>187661.33307103999</v>
      </c>
      <c r="S442" s="9">
        <f>D442*VLOOKUP(F442,보스!$A$4:$E$5,4,FALSE)</f>
        <v>6755807.9905574396</v>
      </c>
    </row>
    <row r="443" spans="1:19" ht="21.95" customHeight="1">
      <c r="A443" s="6">
        <v>5440</v>
      </c>
      <c r="B443" s="2" t="s">
        <v>591</v>
      </c>
      <c r="C443" s="6">
        <v>440</v>
      </c>
      <c r="D443" s="7">
        <v>94386.4894356</v>
      </c>
      <c r="E443" s="2" t="s">
        <v>152</v>
      </c>
      <c r="F443" s="6">
        <v>2002</v>
      </c>
      <c r="G443" s="6">
        <v>5</v>
      </c>
      <c r="H443" s="7">
        <v>30</v>
      </c>
      <c r="I443" s="6">
        <v>5</v>
      </c>
      <c r="J443" s="6">
        <v>2</v>
      </c>
      <c r="K443" s="6">
        <v>1</v>
      </c>
      <c r="L443" s="6">
        <v>15</v>
      </c>
      <c r="M443" s="6">
        <v>175642</v>
      </c>
      <c r="N443" s="6">
        <v>3512840</v>
      </c>
      <c r="O443" s="6">
        <v>49</v>
      </c>
      <c r="P443" s="7">
        <v>3156.4512</v>
      </c>
      <c r="Q443" s="7">
        <v>13272.647999999999</v>
      </c>
      <c r="R443" s="9">
        <f>D443*VLOOKUP(1001,적!$A$4:$D$13,3,FALSE)</f>
        <v>188772.9788712</v>
      </c>
      <c r="S443" s="9">
        <f>D443*VLOOKUP(F443,보스!$A$4:$E$5,4,FALSE)</f>
        <v>6795827.2393632</v>
      </c>
    </row>
    <row r="444" spans="1:19" ht="21.95" customHeight="1">
      <c r="A444" s="6">
        <v>5441</v>
      </c>
      <c r="B444" s="2" t="s">
        <v>592</v>
      </c>
      <c r="C444" s="6">
        <v>441</v>
      </c>
      <c r="D444" s="7">
        <v>94944.820256000006</v>
      </c>
      <c r="E444" s="2" t="s">
        <v>152</v>
      </c>
      <c r="F444" s="6">
        <v>2001</v>
      </c>
      <c r="G444" s="6">
        <v>5</v>
      </c>
      <c r="H444" s="7">
        <v>30</v>
      </c>
      <c r="I444" s="6">
        <v>5</v>
      </c>
      <c r="J444" s="6">
        <v>2</v>
      </c>
      <c r="K444" s="6">
        <v>1</v>
      </c>
      <c r="L444" s="6">
        <v>15</v>
      </c>
      <c r="M444" s="6">
        <v>176048</v>
      </c>
      <c r="N444" s="6">
        <v>3520960</v>
      </c>
      <c r="O444" s="6">
        <v>49</v>
      </c>
      <c r="P444" s="7">
        <v>3169.0598</v>
      </c>
      <c r="Q444" s="7">
        <v>13325.663500000001</v>
      </c>
      <c r="R444" s="9">
        <f>D444*VLOOKUP(1001,적!$A$4:$D$13,3,FALSE)</f>
        <v>189889.64051200001</v>
      </c>
      <c r="S444" s="9">
        <f>D444*VLOOKUP(F444,보스!$A$4:$E$5,4,FALSE)</f>
        <v>6836027.0584320007</v>
      </c>
    </row>
    <row r="445" spans="1:19" ht="21.95" customHeight="1">
      <c r="A445" s="6">
        <v>5442</v>
      </c>
      <c r="B445" s="2" t="s">
        <v>593</v>
      </c>
      <c r="C445" s="6">
        <v>442</v>
      </c>
      <c r="D445" s="7">
        <v>95505.667389759998</v>
      </c>
      <c r="E445" s="2" t="s">
        <v>152</v>
      </c>
      <c r="F445" s="6">
        <v>2002</v>
      </c>
      <c r="G445" s="6">
        <v>5</v>
      </c>
      <c r="H445" s="7">
        <v>30</v>
      </c>
      <c r="I445" s="6">
        <v>5</v>
      </c>
      <c r="J445" s="6">
        <v>2</v>
      </c>
      <c r="K445" s="6">
        <v>1</v>
      </c>
      <c r="L445" s="6">
        <v>15</v>
      </c>
      <c r="M445" s="6">
        <v>176455</v>
      </c>
      <c r="N445" s="6">
        <v>3529100</v>
      </c>
      <c r="O445" s="6">
        <v>49</v>
      </c>
      <c r="P445" s="7">
        <v>3181.6930400000001</v>
      </c>
      <c r="Q445" s="7">
        <v>13378.7826</v>
      </c>
      <c r="R445" s="9">
        <f>D445*VLOOKUP(1001,적!$A$4:$D$13,3,FALSE)</f>
        <v>191011.33477952</v>
      </c>
      <c r="S445" s="9">
        <f>D445*VLOOKUP(F445,보스!$A$4:$E$5,4,FALSE)</f>
        <v>6876408.0520627201</v>
      </c>
    </row>
    <row r="446" spans="1:19" ht="21.95" customHeight="1">
      <c r="A446" s="6">
        <v>5443</v>
      </c>
      <c r="B446" s="2" t="s">
        <v>594</v>
      </c>
      <c r="C446" s="6">
        <v>443</v>
      </c>
      <c r="D446" s="7">
        <v>96069.039247199995</v>
      </c>
      <c r="E446" s="2" t="s">
        <v>152</v>
      </c>
      <c r="F446" s="6">
        <v>2001</v>
      </c>
      <c r="G446" s="6">
        <v>5</v>
      </c>
      <c r="H446" s="7">
        <v>30</v>
      </c>
      <c r="I446" s="6">
        <v>5</v>
      </c>
      <c r="J446" s="6">
        <v>2</v>
      </c>
      <c r="K446" s="6">
        <v>1</v>
      </c>
      <c r="L446" s="6">
        <v>15</v>
      </c>
      <c r="M446" s="6">
        <v>176862</v>
      </c>
      <c r="N446" s="6">
        <v>3537240</v>
      </c>
      <c r="O446" s="6">
        <v>49</v>
      </c>
      <c r="P446" s="7">
        <v>3194.3509199999999</v>
      </c>
      <c r="Q446" s="7">
        <v>13432.005300000001</v>
      </c>
      <c r="R446" s="9">
        <f>D446*VLOOKUP(1001,적!$A$4:$D$13,3,FALSE)</f>
        <v>192138.07849439999</v>
      </c>
      <c r="S446" s="9">
        <f>D446*VLOOKUP(F446,보스!$A$4:$E$5,4,FALSE)</f>
        <v>6916970.8257983997</v>
      </c>
    </row>
    <row r="447" spans="1:19" ht="21.95" customHeight="1">
      <c r="A447" s="6">
        <v>5444</v>
      </c>
      <c r="B447" s="2" t="s">
        <v>595</v>
      </c>
      <c r="C447" s="6">
        <v>444</v>
      </c>
      <c r="D447" s="7">
        <v>96634.944255919996</v>
      </c>
      <c r="E447" s="2" t="s">
        <v>152</v>
      </c>
      <c r="F447" s="6">
        <v>2002</v>
      </c>
      <c r="G447" s="6">
        <v>5</v>
      </c>
      <c r="H447" s="7">
        <v>30</v>
      </c>
      <c r="I447" s="6">
        <v>5</v>
      </c>
      <c r="J447" s="6">
        <v>2</v>
      </c>
      <c r="K447" s="6">
        <v>1</v>
      </c>
      <c r="L447" s="6">
        <v>15</v>
      </c>
      <c r="M447" s="6">
        <v>177268</v>
      </c>
      <c r="N447" s="6">
        <v>3545360</v>
      </c>
      <c r="O447" s="6">
        <v>49</v>
      </c>
      <c r="P447" s="7">
        <v>3207.0334400000002</v>
      </c>
      <c r="Q447" s="7">
        <v>13485.3316</v>
      </c>
      <c r="R447" s="9">
        <f>D447*VLOOKUP(1001,적!$A$4:$D$13,3,FALSE)</f>
        <v>193269.88851183999</v>
      </c>
      <c r="S447" s="9">
        <f>D447*VLOOKUP(F447,보스!$A$4:$E$5,4,FALSE)</f>
        <v>6957715.9864262398</v>
      </c>
    </row>
    <row r="448" spans="1:19" ht="21.95" customHeight="1">
      <c r="A448" s="6">
        <v>5445</v>
      </c>
      <c r="B448" s="2" t="s">
        <v>596</v>
      </c>
      <c r="C448" s="6">
        <v>445</v>
      </c>
      <c r="D448" s="7">
        <v>97203.390860800006</v>
      </c>
      <c r="E448" s="2" t="s">
        <v>152</v>
      </c>
      <c r="F448" s="6">
        <v>2001</v>
      </c>
      <c r="G448" s="6">
        <v>5</v>
      </c>
      <c r="H448" s="7">
        <v>30</v>
      </c>
      <c r="I448" s="6">
        <v>5</v>
      </c>
      <c r="J448" s="6">
        <v>2</v>
      </c>
      <c r="K448" s="6">
        <v>1</v>
      </c>
      <c r="L448" s="6">
        <v>15</v>
      </c>
      <c r="M448" s="6">
        <v>177675</v>
      </c>
      <c r="N448" s="6">
        <v>3553500</v>
      </c>
      <c r="O448" s="6">
        <v>49</v>
      </c>
      <c r="P448" s="7">
        <v>3219.7406000000001</v>
      </c>
      <c r="Q448" s="7">
        <v>13538.761500000001</v>
      </c>
      <c r="R448" s="9">
        <f>D448*VLOOKUP(1001,적!$A$4:$D$13,3,FALSE)</f>
        <v>194406.78172160001</v>
      </c>
      <c r="S448" s="9">
        <f>D448*VLOOKUP(F448,보스!$A$4:$E$5,4,FALSE)</f>
        <v>6998644.1419776008</v>
      </c>
    </row>
    <row r="449" spans="1:19" ht="21.95" customHeight="1">
      <c r="A449" s="6">
        <v>5446</v>
      </c>
      <c r="B449" s="2" t="s">
        <v>597</v>
      </c>
      <c r="C449" s="6">
        <v>446</v>
      </c>
      <c r="D449" s="7">
        <v>97774.387524000005</v>
      </c>
      <c r="E449" s="2" t="s">
        <v>152</v>
      </c>
      <c r="F449" s="6">
        <v>2002</v>
      </c>
      <c r="G449" s="6">
        <v>5</v>
      </c>
      <c r="H449" s="7">
        <v>30</v>
      </c>
      <c r="I449" s="6">
        <v>5</v>
      </c>
      <c r="J449" s="6">
        <v>2</v>
      </c>
      <c r="K449" s="6">
        <v>1</v>
      </c>
      <c r="L449" s="6">
        <v>15</v>
      </c>
      <c r="M449" s="6">
        <v>178082</v>
      </c>
      <c r="N449" s="6">
        <v>3561640</v>
      </c>
      <c r="O449" s="6">
        <v>49</v>
      </c>
      <c r="P449" s="7">
        <v>3232.4724000000001</v>
      </c>
      <c r="Q449" s="7">
        <v>13592.295</v>
      </c>
      <c r="R449" s="9">
        <f>D449*VLOOKUP(1001,적!$A$4:$D$13,3,FALSE)</f>
        <v>195548.77504800001</v>
      </c>
      <c r="S449" s="9">
        <f>D449*VLOOKUP(F449,보스!$A$4:$E$5,4,FALSE)</f>
        <v>7039755.9017280005</v>
      </c>
    </row>
    <row r="450" spans="1:19" ht="21.95" customHeight="1">
      <c r="A450" s="6">
        <v>5447</v>
      </c>
      <c r="B450" s="2" t="s">
        <v>598</v>
      </c>
      <c r="C450" s="6">
        <v>447</v>
      </c>
      <c r="D450" s="7">
        <v>98347.942724959998</v>
      </c>
      <c r="E450" s="2" t="s">
        <v>152</v>
      </c>
      <c r="F450" s="6">
        <v>2001</v>
      </c>
      <c r="G450" s="6">
        <v>5</v>
      </c>
      <c r="H450" s="7">
        <v>30</v>
      </c>
      <c r="I450" s="6">
        <v>5</v>
      </c>
      <c r="J450" s="6">
        <v>2</v>
      </c>
      <c r="K450" s="6">
        <v>1</v>
      </c>
      <c r="L450" s="6">
        <v>15</v>
      </c>
      <c r="M450" s="6">
        <v>178488</v>
      </c>
      <c r="N450" s="6">
        <v>3569760</v>
      </c>
      <c r="O450" s="6">
        <v>49</v>
      </c>
      <c r="P450" s="7">
        <v>3245.2288400000002</v>
      </c>
      <c r="Q450" s="7">
        <v>13645.9321</v>
      </c>
      <c r="R450" s="9">
        <f>D450*VLOOKUP(1001,적!$A$4:$D$13,3,FALSE)</f>
        <v>196695.88544992</v>
      </c>
      <c r="S450" s="9">
        <f>D450*VLOOKUP(F450,보스!$A$4:$E$5,4,FALSE)</f>
        <v>7081051.8761971202</v>
      </c>
    </row>
    <row r="451" spans="1:19" ht="21.95" customHeight="1">
      <c r="A451" s="6">
        <v>5448</v>
      </c>
      <c r="B451" s="2" t="s">
        <v>599</v>
      </c>
      <c r="C451" s="6">
        <v>448</v>
      </c>
      <c r="D451" s="7">
        <v>98924.064960400006</v>
      </c>
      <c r="E451" s="2" t="s">
        <v>152</v>
      </c>
      <c r="F451" s="6">
        <v>2002</v>
      </c>
      <c r="G451" s="6">
        <v>5</v>
      </c>
      <c r="H451" s="7">
        <v>30</v>
      </c>
      <c r="I451" s="6">
        <v>5</v>
      </c>
      <c r="J451" s="6">
        <v>2</v>
      </c>
      <c r="K451" s="6">
        <v>1</v>
      </c>
      <c r="L451" s="6">
        <v>15</v>
      </c>
      <c r="M451" s="6">
        <v>178895</v>
      </c>
      <c r="N451" s="6">
        <v>3577900</v>
      </c>
      <c r="O451" s="6">
        <v>49</v>
      </c>
      <c r="P451" s="7">
        <v>3258.00992</v>
      </c>
      <c r="Q451" s="7">
        <v>13699.6728</v>
      </c>
      <c r="R451" s="9">
        <f>D451*VLOOKUP(1001,적!$A$4:$D$13,3,FALSE)</f>
        <v>197848.12992080001</v>
      </c>
      <c r="S451" s="9">
        <f>D451*VLOOKUP(F451,보스!$A$4:$E$5,4,FALSE)</f>
        <v>7122532.6771488003</v>
      </c>
    </row>
    <row r="452" spans="1:19" ht="21.95" customHeight="1">
      <c r="A452" s="6">
        <v>5449</v>
      </c>
      <c r="B452" s="2" t="s">
        <v>600</v>
      </c>
      <c r="C452" s="6">
        <v>449</v>
      </c>
      <c r="D452" s="7">
        <v>99502.762744320004</v>
      </c>
      <c r="E452" s="2" t="s">
        <v>152</v>
      </c>
      <c r="F452" s="6">
        <v>2001</v>
      </c>
      <c r="G452" s="6">
        <v>5</v>
      </c>
      <c r="H452" s="7">
        <v>30</v>
      </c>
      <c r="I452" s="6">
        <v>5</v>
      </c>
      <c r="J452" s="6">
        <v>2</v>
      </c>
      <c r="K452" s="6">
        <v>1</v>
      </c>
      <c r="L452" s="6">
        <v>15</v>
      </c>
      <c r="M452" s="6">
        <v>179302</v>
      </c>
      <c r="N452" s="6">
        <v>3586040</v>
      </c>
      <c r="O452" s="6">
        <v>49</v>
      </c>
      <c r="P452" s="7">
        <v>3270.8156399999998</v>
      </c>
      <c r="Q452" s="7">
        <v>13753.517099999999</v>
      </c>
      <c r="R452" s="9">
        <f>D452*VLOOKUP(1001,적!$A$4:$D$13,3,FALSE)</f>
        <v>199005.52548864001</v>
      </c>
      <c r="S452" s="9">
        <f>D452*VLOOKUP(F452,보스!$A$4:$E$5,4,FALSE)</f>
        <v>7164198.91759104</v>
      </c>
    </row>
    <row r="453" spans="1:19" ht="21.95" customHeight="1">
      <c r="A453" s="6">
        <v>5450</v>
      </c>
      <c r="B453" s="2" t="s">
        <v>601</v>
      </c>
      <c r="C453" s="6">
        <v>450</v>
      </c>
      <c r="D453" s="7">
        <v>100084.044608</v>
      </c>
      <c r="E453" s="2" t="s">
        <v>152</v>
      </c>
      <c r="F453" s="6">
        <v>2002</v>
      </c>
      <c r="G453" s="6">
        <v>5</v>
      </c>
      <c r="H453" s="7">
        <v>30</v>
      </c>
      <c r="I453" s="6">
        <v>5</v>
      </c>
      <c r="J453" s="6">
        <v>2</v>
      </c>
      <c r="K453" s="6">
        <v>1</v>
      </c>
      <c r="L453" s="6">
        <v>15</v>
      </c>
      <c r="M453" s="6">
        <v>179708</v>
      </c>
      <c r="N453" s="6">
        <v>3594160</v>
      </c>
      <c r="O453" s="6">
        <v>50</v>
      </c>
      <c r="P453" s="7">
        <v>3283.6460000000002</v>
      </c>
      <c r="Q453" s="7">
        <v>13807.465</v>
      </c>
      <c r="R453" s="9">
        <f>D453*VLOOKUP(1001,적!$A$4:$D$13,3,FALSE)</f>
        <v>200168.08921599999</v>
      </c>
      <c r="S453" s="9">
        <f>D453*VLOOKUP(F453,보스!$A$4:$E$5,4,FALSE)</f>
        <v>7206051.2117759995</v>
      </c>
    </row>
    <row r="454" spans="1:19" ht="21.95" customHeight="1">
      <c r="A454" s="6">
        <v>5451</v>
      </c>
      <c r="B454" s="2" t="s">
        <v>602</v>
      </c>
      <c r="C454" s="6">
        <v>451</v>
      </c>
      <c r="D454" s="7">
        <v>100667.9191</v>
      </c>
      <c r="E454" s="2" t="s">
        <v>152</v>
      </c>
      <c r="F454" s="6">
        <v>2001</v>
      </c>
      <c r="G454" s="6">
        <v>5</v>
      </c>
      <c r="H454" s="7">
        <v>30</v>
      </c>
      <c r="I454" s="6">
        <v>5</v>
      </c>
      <c r="J454" s="6">
        <v>2</v>
      </c>
      <c r="K454" s="6">
        <v>1</v>
      </c>
      <c r="L454" s="6">
        <v>15</v>
      </c>
      <c r="M454" s="6">
        <v>180115</v>
      </c>
      <c r="N454" s="6">
        <v>3602300</v>
      </c>
      <c r="O454" s="6">
        <v>50</v>
      </c>
      <c r="P454" s="7">
        <v>3296.5010000000002</v>
      </c>
      <c r="Q454" s="7">
        <v>13861.5165</v>
      </c>
      <c r="R454" s="9">
        <f>D454*VLOOKUP(1001,적!$A$4:$D$13,3,FALSE)</f>
        <v>201335.8382</v>
      </c>
      <c r="S454" s="9">
        <f>D454*VLOOKUP(F454,보스!$A$4:$E$5,4,FALSE)</f>
        <v>7248090.1752000004</v>
      </c>
    </row>
    <row r="455" spans="1:19" ht="21.95" customHeight="1">
      <c r="A455" s="6">
        <v>5452</v>
      </c>
      <c r="B455" s="2" t="s">
        <v>603</v>
      </c>
      <c r="C455" s="6">
        <v>452</v>
      </c>
      <c r="D455" s="7">
        <v>101254.39478616</v>
      </c>
      <c r="E455" s="2" t="s">
        <v>152</v>
      </c>
      <c r="F455" s="6">
        <v>2002</v>
      </c>
      <c r="G455" s="6">
        <v>5</v>
      </c>
      <c r="H455" s="7">
        <v>30</v>
      </c>
      <c r="I455" s="6">
        <v>5</v>
      </c>
      <c r="J455" s="6">
        <v>2</v>
      </c>
      <c r="K455" s="6">
        <v>1</v>
      </c>
      <c r="L455" s="6">
        <v>15</v>
      </c>
      <c r="M455" s="6">
        <v>180521</v>
      </c>
      <c r="N455" s="6">
        <v>3610420</v>
      </c>
      <c r="O455" s="6">
        <v>50</v>
      </c>
      <c r="P455" s="7">
        <v>3309.3806399999999</v>
      </c>
      <c r="Q455" s="7">
        <v>13915.6716</v>
      </c>
      <c r="R455" s="9">
        <f>D455*VLOOKUP(1001,적!$A$4:$D$13,3,FALSE)</f>
        <v>202508.78957232001</v>
      </c>
      <c r="S455" s="9">
        <f>D455*VLOOKUP(F455,보스!$A$4:$E$5,4,FALSE)</f>
        <v>7290316.42460352</v>
      </c>
    </row>
    <row r="456" spans="1:19" ht="21.95" customHeight="1">
      <c r="A456" s="6">
        <v>5453</v>
      </c>
      <c r="B456" s="2" t="s">
        <v>604</v>
      </c>
      <c r="C456" s="6">
        <v>453</v>
      </c>
      <c r="D456" s="7">
        <v>101843.4802496</v>
      </c>
      <c r="E456" s="2" t="s">
        <v>152</v>
      </c>
      <c r="F456" s="6">
        <v>2001</v>
      </c>
      <c r="G456" s="6">
        <v>5</v>
      </c>
      <c r="H456" s="7">
        <v>30</v>
      </c>
      <c r="I456" s="6">
        <v>5</v>
      </c>
      <c r="J456" s="6">
        <v>2</v>
      </c>
      <c r="K456" s="6">
        <v>1</v>
      </c>
      <c r="L456" s="6">
        <v>15</v>
      </c>
      <c r="M456" s="6">
        <v>180928</v>
      </c>
      <c r="N456" s="6">
        <v>3618560</v>
      </c>
      <c r="O456" s="6">
        <v>50</v>
      </c>
      <c r="P456" s="7">
        <v>3322.2849200000001</v>
      </c>
      <c r="Q456" s="7">
        <v>13969.9303</v>
      </c>
      <c r="R456" s="9">
        <f>D456*VLOOKUP(1001,적!$A$4:$D$13,3,FALSE)</f>
        <v>203686.96049920001</v>
      </c>
      <c r="S456" s="9">
        <f>D456*VLOOKUP(F456,보스!$A$4:$E$5,4,FALSE)</f>
        <v>7332730.5779712005</v>
      </c>
    </row>
    <row r="457" spans="1:19" ht="21.95" customHeight="1">
      <c r="A457" s="6">
        <v>5454</v>
      </c>
      <c r="B457" s="2" t="s">
        <v>605</v>
      </c>
      <c r="C457" s="6">
        <v>454</v>
      </c>
      <c r="D457" s="7">
        <v>102435.18409071999</v>
      </c>
      <c r="E457" s="2" t="s">
        <v>152</v>
      </c>
      <c r="F457" s="6">
        <v>2002</v>
      </c>
      <c r="G457" s="6">
        <v>5</v>
      </c>
      <c r="H457" s="7">
        <v>30</v>
      </c>
      <c r="I457" s="6">
        <v>5</v>
      </c>
      <c r="J457" s="6">
        <v>2</v>
      </c>
      <c r="K457" s="6">
        <v>1</v>
      </c>
      <c r="L457" s="6">
        <v>15</v>
      </c>
      <c r="M457" s="6">
        <v>181335</v>
      </c>
      <c r="N457" s="6">
        <v>3626700</v>
      </c>
      <c r="O457" s="6">
        <v>50</v>
      </c>
      <c r="P457" s="7">
        <v>3335.2138399999999</v>
      </c>
      <c r="Q457" s="7">
        <v>14024.292600000001</v>
      </c>
      <c r="R457" s="9">
        <f>D457*VLOOKUP(1001,적!$A$4:$D$13,3,FALSE)</f>
        <v>204870.36818143999</v>
      </c>
      <c r="S457" s="9">
        <f>D457*VLOOKUP(F457,보스!$A$4:$E$5,4,FALSE)</f>
        <v>7375333.2545318399</v>
      </c>
    </row>
    <row r="458" spans="1:19" ht="21.95" customHeight="1">
      <c r="A458" s="6">
        <v>5455</v>
      </c>
      <c r="B458" s="2" t="s">
        <v>606</v>
      </c>
      <c r="C458" s="6">
        <v>455</v>
      </c>
      <c r="D458" s="7">
        <v>103029.5149272</v>
      </c>
      <c r="E458" s="2" t="s">
        <v>152</v>
      </c>
      <c r="F458" s="6">
        <v>2001</v>
      </c>
      <c r="G458" s="6">
        <v>5</v>
      </c>
      <c r="H458" s="7">
        <v>30</v>
      </c>
      <c r="I458" s="6">
        <v>5</v>
      </c>
      <c r="J458" s="6">
        <v>2</v>
      </c>
      <c r="K458" s="6">
        <v>1</v>
      </c>
      <c r="L458" s="6">
        <v>15</v>
      </c>
      <c r="M458" s="6">
        <v>181741</v>
      </c>
      <c r="N458" s="6">
        <v>3634820</v>
      </c>
      <c r="O458" s="6">
        <v>50</v>
      </c>
      <c r="P458" s="7">
        <v>3348.1673999999998</v>
      </c>
      <c r="Q458" s="7">
        <v>14078.7585</v>
      </c>
      <c r="R458" s="9">
        <f>D458*VLOOKUP(1001,적!$A$4:$D$13,3,FALSE)</f>
        <v>206059.0298544</v>
      </c>
      <c r="S458" s="9">
        <f>D458*VLOOKUP(F458,보스!$A$4:$E$5,4,FALSE)</f>
        <v>7418125.0747584002</v>
      </c>
    </row>
    <row r="459" spans="1:19" ht="21.95" customHeight="1">
      <c r="A459" s="6">
        <v>5456</v>
      </c>
      <c r="B459" s="2" t="s">
        <v>607</v>
      </c>
      <c r="C459" s="6">
        <v>456</v>
      </c>
      <c r="D459" s="7">
        <v>103626.481394</v>
      </c>
      <c r="E459" s="2" t="s">
        <v>152</v>
      </c>
      <c r="F459" s="6">
        <v>2002</v>
      </c>
      <c r="G459" s="6">
        <v>5</v>
      </c>
      <c r="H459" s="7">
        <v>30</v>
      </c>
      <c r="I459" s="6">
        <v>5</v>
      </c>
      <c r="J459" s="6">
        <v>2</v>
      </c>
      <c r="K459" s="6">
        <v>1</v>
      </c>
      <c r="L459" s="6">
        <v>15</v>
      </c>
      <c r="M459" s="6">
        <v>182148</v>
      </c>
      <c r="N459" s="6">
        <v>3642960</v>
      </c>
      <c r="O459" s="6">
        <v>50</v>
      </c>
      <c r="P459" s="7">
        <v>3361.1455999999998</v>
      </c>
      <c r="Q459" s="7">
        <v>14133.328</v>
      </c>
      <c r="R459" s="9">
        <f>D459*VLOOKUP(1001,적!$A$4:$D$13,3,FALSE)</f>
        <v>207252.962788</v>
      </c>
      <c r="S459" s="9">
        <f>D459*VLOOKUP(F459,보스!$A$4:$E$5,4,FALSE)</f>
        <v>7461106.6603680002</v>
      </c>
    </row>
    <row r="460" spans="1:19" ht="21.95" customHeight="1">
      <c r="A460" s="6">
        <v>5457</v>
      </c>
      <c r="B460" s="2" t="s">
        <v>608</v>
      </c>
      <c r="C460" s="6">
        <v>457</v>
      </c>
      <c r="D460" s="7">
        <v>104226.09214336</v>
      </c>
      <c r="E460" s="2" t="s">
        <v>152</v>
      </c>
      <c r="F460" s="6">
        <v>2001</v>
      </c>
      <c r="G460" s="6">
        <v>5</v>
      </c>
      <c r="H460" s="7">
        <v>30</v>
      </c>
      <c r="I460" s="6">
        <v>5</v>
      </c>
      <c r="J460" s="6">
        <v>2</v>
      </c>
      <c r="K460" s="6">
        <v>1</v>
      </c>
      <c r="L460" s="6">
        <v>15</v>
      </c>
      <c r="M460" s="6">
        <v>182554</v>
      </c>
      <c r="N460" s="6">
        <v>3651080</v>
      </c>
      <c r="O460" s="6">
        <v>50</v>
      </c>
      <c r="P460" s="7">
        <v>3374.1484399999999</v>
      </c>
      <c r="Q460" s="7">
        <v>14188.001099999999</v>
      </c>
      <c r="R460" s="9">
        <f>D460*VLOOKUP(1001,적!$A$4:$D$13,3,FALSE)</f>
        <v>208452.18428672</v>
      </c>
      <c r="S460" s="9">
        <f>D460*VLOOKUP(F460,보스!$A$4:$E$5,4,FALSE)</f>
        <v>7504278.6343219206</v>
      </c>
    </row>
    <row r="461" spans="1:19" ht="21.95" customHeight="1">
      <c r="A461" s="6">
        <v>5458</v>
      </c>
      <c r="B461" s="2" t="s">
        <v>609</v>
      </c>
      <c r="C461" s="6">
        <v>458</v>
      </c>
      <c r="D461" s="7">
        <v>104828.3558448</v>
      </c>
      <c r="E461" s="2" t="s">
        <v>152</v>
      </c>
      <c r="F461" s="6">
        <v>2002</v>
      </c>
      <c r="G461" s="6">
        <v>5</v>
      </c>
      <c r="H461" s="7">
        <v>30</v>
      </c>
      <c r="I461" s="6">
        <v>5</v>
      </c>
      <c r="J461" s="6">
        <v>2</v>
      </c>
      <c r="K461" s="6">
        <v>1</v>
      </c>
      <c r="L461" s="6">
        <v>15</v>
      </c>
      <c r="M461" s="6">
        <v>182961</v>
      </c>
      <c r="N461" s="6">
        <v>3659220</v>
      </c>
      <c r="O461" s="6">
        <v>50</v>
      </c>
      <c r="P461" s="7">
        <v>3387.1759200000001</v>
      </c>
      <c r="Q461" s="7">
        <v>14242.7778</v>
      </c>
      <c r="R461" s="9">
        <f>D461*VLOOKUP(1001,적!$A$4:$D$13,3,FALSE)</f>
        <v>209656.71168959999</v>
      </c>
      <c r="S461" s="9">
        <f>D461*VLOOKUP(F461,보스!$A$4:$E$5,4,FALSE)</f>
        <v>7547641.6208255999</v>
      </c>
    </row>
    <row r="462" spans="1:19" ht="21.95" customHeight="1">
      <c r="A462" s="6">
        <v>5459</v>
      </c>
      <c r="B462" s="2" t="s">
        <v>610</v>
      </c>
      <c r="C462" s="6">
        <v>459</v>
      </c>
      <c r="D462" s="7">
        <v>105433.28118511999</v>
      </c>
      <c r="E462" s="2" t="s">
        <v>152</v>
      </c>
      <c r="F462" s="6">
        <v>2001</v>
      </c>
      <c r="G462" s="6">
        <v>5</v>
      </c>
      <c r="H462" s="7">
        <v>30</v>
      </c>
      <c r="I462" s="6">
        <v>5</v>
      </c>
      <c r="J462" s="6">
        <v>2</v>
      </c>
      <c r="K462" s="6">
        <v>1</v>
      </c>
      <c r="L462" s="6">
        <v>15</v>
      </c>
      <c r="M462" s="6">
        <v>183367</v>
      </c>
      <c r="N462" s="6">
        <v>3667340</v>
      </c>
      <c r="O462" s="6">
        <v>50</v>
      </c>
      <c r="P462" s="7">
        <v>3400.22804</v>
      </c>
      <c r="Q462" s="7">
        <v>14297.658100000001</v>
      </c>
      <c r="R462" s="9">
        <f>D462*VLOOKUP(1001,적!$A$4:$D$13,3,FALSE)</f>
        <v>210866.56237023999</v>
      </c>
      <c r="S462" s="9">
        <f>D462*VLOOKUP(F462,보스!$A$4:$E$5,4,FALSE)</f>
        <v>7591196.2453286396</v>
      </c>
    </row>
    <row r="463" spans="1:19" ht="21.95" customHeight="1">
      <c r="A463" s="6">
        <v>5460</v>
      </c>
      <c r="B463" s="2" t="s">
        <v>611</v>
      </c>
      <c r="C463" s="6">
        <v>460</v>
      </c>
      <c r="D463" s="7">
        <v>106040.8768684</v>
      </c>
      <c r="E463" s="2" t="s">
        <v>152</v>
      </c>
      <c r="F463" s="6">
        <v>2002</v>
      </c>
      <c r="G463" s="6">
        <v>5</v>
      </c>
      <c r="H463" s="7">
        <v>30</v>
      </c>
      <c r="I463" s="6">
        <v>5</v>
      </c>
      <c r="J463" s="6">
        <v>2</v>
      </c>
      <c r="K463" s="6">
        <v>1</v>
      </c>
      <c r="L463" s="6">
        <v>15</v>
      </c>
      <c r="M463" s="6">
        <v>183774</v>
      </c>
      <c r="N463" s="6">
        <v>3675480</v>
      </c>
      <c r="O463" s="6">
        <v>51</v>
      </c>
      <c r="P463" s="7">
        <v>3413.3047999999999</v>
      </c>
      <c r="Q463" s="7">
        <v>14352.642</v>
      </c>
      <c r="R463" s="9">
        <f>D463*VLOOKUP(1001,적!$A$4:$D$13,3,FALSE)</f>
        <v>212081.75373679999</v>
      </c>
      <c r="S463" s="9">
        <f>D463*VLOOKUP(F463,보스!$A$4:$E$5,4,FALSE)</f>
        <v>7634943.1345247999</v>
      </c>
    </row>
    <row r="464" spans="1:19" ht="21.95" customHeight="1">
      <c r="A464" s="6">
        <v>5461</v>
      </c>
      <c r="B464" s="2" t="s">
        <v>612</v>
      </c>
      <c r="C464" s="6">
        <v>461</v>
      </c>
      <c r="D464" s="7">
        <v>106651.151616</v>
      </c>
      <c r="E464" s="2" t="s">
        <v>152</v>
      </c>
      <c r="F464" s="6">
        <v>2001</v>
      </c>
      <c r="G464" s="6">
        <v>5</v>
      </c>
      <c r="H464" s="7">
        <v>30</v>
      </c>
      <c r="I464" s="6">
        <v>5</v>
      </c>
      <c r="J464" s="6">
        <v>2</v>
      </c>
      <c r="K464" s="6">
        <v>1</v>
      </c>
      <c r="L464" s="6">
        <v>15</v>
      </c>
      <c r="M464" s="6">
        <v>184181</v>
      </c>
      <c r="N464" s="6">
        <v>3683620</v>
      </c>
      <c r="O464" s="6">
        <v>51</v>
      </c>
      <c r="P464" s="7">
        <v>3426.4061999999999</v>
      </c>
      <c r="Q464" s="7">
        <v>14407.729499999999</v>
      </c>
      <c r="R464" s="9">
        <f>D464*VLOOKUP(1001,적!$A$4:$D$13,3,FALSE)</f>
        <v>213302.30323200001</v>
      </c>
      <c r="S464" s="9">
        <f>D464*VLOOKUP(F464,보스!$A$4:$E$5,4,FALSE)</f>
        <v>7678882.9163520001</v>
      </c>
    </row>
    <row r="465" spans="1:19" ht="21.95" customHeight="1">
      <c r="A465" s="6">
        <v>5462</v>
      </c>
      <c r="B465" s="2" t="s">
        <v>613</v>
      </c>
      <c r="C465" s="6">
        <v>462</v>
      </c>
      <c r="D465" s="7">
        <v>107264.11416656</v>
      </c>
      <c r="E465" s="2" t="s">
        <v>152</v>
      </c>
      <c r="F465" s="6">
        <v>2002</v>
      </c>
      <c r="G465" s="6">
        <v>5</v>
      </c>
      <c r="H465" s="7">
        <v>30</v>
      </c>
      <c r="I465" s="6">
        <v>5</v>
      </c>
      <c r="J465" s="6">
        <v>2</v>
      </c>
      <c r="K465" s="6">
        <v>1</v>
      </c>
      <c r="L465" s="6">
        <v>15</v>
      </c>
      <c r="M465" s="6">
        <v>184587</v>
      </c>
      <c r="N465" s="6">
        <v>3691740</v>
      </c>
      <c r="O465" s="6">
        <v>51</v>
      </c>
      <c r="P465" s="7">
        <v>3439.53224</v>
      </c>
      <c r="Q465" s="7">
        <v>14462.920599999999</v>
      </c>
      <c r="R465" s="9">
        <f>D465*VLOOKUP(1001,적!$A$4:$D$13,3,FALSE)</f>
        <v>214528.22833312</v>
      </c>
      <c r="S465" s="9">
        <f>D465*VLOOKUP(F465,보스!$A$4:$E$5,4,FALSE)</f>
        <v>7723016.2199923201</v>
      </c>
    </row>
    <row r="466" spans="1:19" ht="21.95" customHeight="1">
      <c r="A466" s="6">
        <v>5463</v>
      </c>
      <c r="B466" s="2" t="s">
        <v>614</v>
      </c>
      <c r="C466" s="6">
        <v>463</v>
      </c>
      <c r="D466" s="7">
        <v>107879.77327600001</v>
      </c>
      <c r="E466" s="2" t="s">
        <v>152</v>
      </c>
      <c r="F466" s="6">
        <v>2001</v>
      </c>
      <c r="G466" s="6">
        <v>5</v>
      </c>
      <c r="H466" s="7">
        <v>30</v>
      </c>
      <c r="I466" s="6">
        <v>5</v>
      </c>
      <c r="J466" s="6">
        <v>2</v>
      </c>
      <c r="K466" s="6">
        <v>1</v>
      </c>
      <c r="L466" s="6">
        <v>15</v>
      </c>
      <c r="M466" s="6">
        <v>184994</v>
      </c>
      <c r="N466" s="6">
        <v>3699880</v>
      </c>
      <c r="O466" s="6">
        <v>51</v>
      </c>
      <c r="P466" s="7">
        <v>3452.6829200000002</v>
      </c>
      <c r="Q466" s="7">
        <v>14518.2153</v>
      </c>
      <c r="R466" s="9">
        <f>D466*VLOOKUP(1001,적!$A$4:$D$13,3,FALSE)</f>
        <v>215759.54655200001</v>
      </c>
      <c r="S466" s="9">
        <f>D466*VLOOKUP(F466,보스!$A$4:$E$5,4,FALSE)</f>
        <v>7767343.6758720009</v>
      </c>
    </row>
    <row r="467" spans="1:19" ht="21.95" customHeight="1">
      <c r="A467" s="6">
        <v>5464</v>
      </c>
      <c r="B467" s="2" t="s">
        <v>615</v>
      </c>
      <c r="C467" s="6">
        <v>464</v>
      </c>
      <c r="D467" s="7">
        <v>108498.13771752</v>
      </c>
      <c r="E467" s="2" t="s">
        <v>152</v>
      </c>
      <c r="F467" s="6">
        <v>2002</v>
      </c>
      <c r="G467" s="6">
        <v>5</v>
      </c>
      <c r="H467" s="7">
        <v>30</v>
      </c>
      <c r="I467" s="6">
        <v>5</v>
      </c>
      <c r="J467" s="6">
        <v>2</v>
      </c>
      <c r="K467" s="6">
        <v>1</v>
      </c>
      <c r="L467" s="6">
        <v>15</v>
      </c>
      <c r="M467" s="6">
        <v>185400</v>
      </c>
      <c r="N467" s="6">
        <v>3708000</v>
      </c>
      <c r="O467" s="6">
        <v>51</v>
      </c>
      <c r="P467" s="7">
        <v>3465.85824</v>
      </c>
      <c r="Q467" s="7">
        <v>14573.613600000001</v>
      </c>
      <c r="R467" s="9">
        <f>D467*VLOOKUP(1001,적!$A$4:$D$13,3,FALSE)</f>
        <v>216996.27543504001</v>
      </c>
      <c r="S467" s="9">
        <f>D467*VLOOKUP(F467,보스!$A$4:$E$5,4,FALSE)</f>
        <v>7811865.9156614402</v>
      </c>
    </row>
    <row r="468" spans="1:19" ht="21.95" customHeight="1">
      <c r="A468" s="6">
        <v>5465</v>
      </c>
      <c r="B468" s="2" t="s">
        <v>616</v>
      </c>
      <c r="C468" s="6">
        <v>465</v>
      </c>
      <c r="D468" s="7">
        <v>109119.21628160001</v>
      </c>
      <c r="E468" s="2" t="s">
        <v>152</v>
      </c>
      <c r="F468" s="6">
        <v>2001</v>
      </c>
      <c r="G468" s="6">
        <v>5</v>
      </c>
      <c r="H468" s="7">
        <v>30</v>
      </c>
      <c r="I468" s="6">
        <v>5</v>
      </c>
      <c r="J468" s="6">
        <v>2</v>
      </c>
      <c r="K468" s="6">
        <v>1</v>
      </c>
      <c r="L468" s="6">
        <v>15</v>
      </c>
      <c r="M468" s="6">
        <v>185807</v>
      </c>
      <c r="N468" s="6">
        <v>3716140</v>
      </c>
      <c r="O468" s="6">
        <v>51</v>
      </c>
      <c r="P468" s="7">
        <v>3479.0581999999999</v>
      </c>
      <c r="Q468" s="7">
        <v>14629.1155</v>
      </c>
      <c r="R468" s="9">
        <f>D468*VLOOKUP(1001,적!$A$4:$D$13,3,FALSE)</f>
        <v>218238.43256320001</v>
      </c>
      <c r="S468" s="9">
        <f>D468*VLOOKUP(F468,보스!$A$4:$E$5,4,FALSE)</f>
        <v>7856583.5722752009</v>
      </c>
    </row>
    <row r="469" spans="1:19" ht="21.95" customHeight="1">
      <c r="A469" s="6">
        <v>5466</v>
      </c>
      <c r="B469" s="2" t="s">
        <v>617</v>
      </c>
      <c r="C469" s="6">
        <v>466</v>
      </c>
      <c r="D469" s="7">
        <v>109743.01777599999</v>
      </c>
      <c r="E469" s="2" t="s">
        <v>152</v>
      </c>
      <c r="F469" s="6">
        <v>2002</v>
      </c>
      <c r="G469" s="6">
        <v>5</v>
      </c>
      <c r="H469" s="7">
        <v>30</v>
      </c>
      <c r="I469" s="6">
        <v>5</v>
      </c>
      <c r="J469" s="6">
        <v>2</v>
      </c>
      <c r="K469" s="6">
        <v>1</v>
      </c>
      <c r="L469" s="6">
        <v>15</v>
      </c>
      <c r="M469" s="6">
        <v>186213</v>
      </c>
      <c r="N469" s="6">
        <v>3724260</v>
      </c>
      <c r="O469" s="6">
        <v>51</v>
      </c>
      <c r="P469" s="7">
        <v>3492.2828</v>
      </c>
      <c r="Q469" s="7">
        <v>14684.721</v>
      </c>
      <c r="R469" s="9">
        <f>D469*VLOOKUP(1001,적!$A$4:$D$13,3,FALSE)</f>
        <v>219486.03555199999</v>
      </c>
      <c r="S469" s="9">
        <f>D469*VLOOKUP(F469,보스!$A$4:$E$5,4,FALSE)</f>
        <v>7901497.2798719993</v>
      </c>
    </row>
    <row r="470" spans="1:19" ht="21.95" customHeight="1">
      <c r="A470" s="6">
        <v>5467</v>
      </c>
      <c r="B470" s="2" t="s">
        <v>618</v>
      </c>
      <c r="C470" s="6">
        <v>467</v>
      </c>
      <c r="D470" s="7">
        <v>110369.55102576</v>
      </c>
      <c r="E470" s="2" t="s">
        <v>152</v>
      </c>
      <c r="F470" s="6">
        <v>2001</v>
      </c>
      <c r="G470" s="6">
        <v>5</v>
      </c>
      <c r="H470" s="7">
        <v>30</v>
      </c>
      <c r="I470" s="6">
        <v>5</v>
      </c>
      <c r="J470" s="6">
        <v>2</v>
      </c>
      <c r="K470" s="6">
        <v>1</v>
      </c>
      <c r="L470" s="6">
        <v>15</v>
      </c>
      <c r="M470" s="6">
        <v>186620</v>
      </c>
      <c r="N470" s="6">
        <v>3732400</v>
      </c>
      <c r="O470" s="6">
        <v>51</v>
      </c>
      <c r="P470" s="7">
        <v>3505.5320400000001</v>
      </c>
      <c r="Q470" s="7">
        <v>14740.4301</v>
      </c>
      <c r="R470" s="9">
        <f>D470*VLOOKUP(1001,적!$A$4:$D$13,3,FALSE)</f>
        <v>220739.10205151999</v>
      </c>
      <c r="S470" s="9">
        <f>D470*VLOOKUP(F470,보스!$A$4:$E$5,4,FALSE)</f>
        <v>7946607.6738547198</v>
      </c>
    </row>
    <row r="471" spans="1:19" ht="21.95" customHeight="1">
      <c r="A471" s="6">
        <v>5468</v>
      </c>
      <c r="B471" s="2" t="s">
        <v>619</v>
      </c>
      <c r="C471" s="6">
        <v>468</v>
      </c>
      <c r="D471" s="7">
        <v>110998.82487320001</v>
      </c>
      <c r="E471" s="2" t="s">
        <v>152</v>
      </c>
      <c r="F471" s="6">
        <v>2002</v>
      </c>
      <c r="G471" s="6">
        <v>5</v>
      </c>
      <c r="H471" s="7">
        <v>30</v>
      </c>
      <c r="I471" s="6">
        <v>5</v>
      </c>
      <c r="J471" s="6">
        <v>2</v>
      </c>
      <c r="K471" s="6">
        <v>1</v>
      </c>
      <c r="L471" s="6">
        <v>15</v>
      </c>
      <c r="M471" s="6">
        <v>187026</v>
      </c>
      <c r="N471" s="6">
        <v>3740520</v>
      </c>
      <c r="O471" s="6">
        <v>51</v>
      </c>
      <c r="P471" s="7">
        <v>3518.8059199999998</v>
      </c>
      <c r="Q471" s="7">
        <v>14796.2428</v>
      </c>
      <c r="R471" s="9">
        <f>D471*VLOOKUP(1001,적!$A$4:$D$13,3,FALSE)</f>
        <v>221997.64974640001</v>
      </c>
      <c r="S471" s="9">
        <f>D471*VLOOKUP(F471,보스!$A$4:$E$5,4,FALSE)</f>
        <v>7991915.3908704007</v>
      </c>
    </row>
    <row r="472" spans="1:19" ht="21.95" customHeight="1">
      <c r="A472" s="6">
        <v>5469</v>
      </c>
      <c r="B472" s="2" t="s">
        <v>620</v>
      </c>
      <c r="C472" s="6">
        <v>469</v>
      </c>
      <c r="D472" s="7">
        <v>111630.84817791999</v>
      </c>
      <c r="E472" s="2" t="s">
        <v>152</v>
      </c>
      <c r="F472" s="6">
        <v>2001</v>
      </c>
      <c r="G472" s="6">
        <v>5</v>
      </c>
      <c r="H472" s="7">
        <v>30</v>
      </c>
      <c r="I472" s="6">
        <v>5</v>
      </c>
      <c r="J472" s="6">
        <v>2</v>
      </c>
      <c r="K472" s="6">
        <v>1</v>
      </c>
      <c r="L472" s="6">
        <v>15</v>
      </c>
      <c r="M472" s="6">
        <v>187433</v>
      </c>
      <c r="N472" s="6">
        <v>3748660</v>
      </c>
      <c r="O472" s="6">
        <v>51</v>
      </c>
      <c r="P472" s="7">
        <v>3532.1044400000001</v>
      </c>
      <c r="Q472" s="7">
        <v>14852.159100000001</v>
      </c>
      <c r="R472" s="9">
        <f>D472*VLOOKUP(1001,적!$A$4:$D$13,3,FALSE)</f>
        <v>223261.69635583999</v>
      </c>
      <c r="S472" s="9">
        <f>D472*VLOOKUP(F472,보스!$A$4:$E$5,4,FALSE)</f>
        <v>8037421.0688102394</v>
      </c>
    </row>
    <row r="473" spans="1:19" ht="21.95" customHeight="1">
      <c r="A473" s="6">
        <v>5470</v>
      </c>
      <c r="B473" s="2" t="s">
        <v>621</v>
      </c>
      <c r="C473" s="6">
        <v>470</v>
      </c>
      <c r="D473" s="7">
        <v>112265.62981680001</v>
      </c>
      <c r="E473" s="2" t="s">
        <v>152</v>
      </c>
      <c r="F473" s="6">
        <v>2002</v>
      </c>
      <c r="G473" s="6">
        <v>5</v>
      </c>
      <c r="H473" s="7">
        <v>30</v>
      </c>
      <c r="I473" s="6">
        <v>5</v>
      </c>
      <c r="J473" s="6">
        <v>2</v>
      </c>
      <c r="K473" s="6">
        <v>1</v>
      </c>
      <c r="L473" s="6">
        <v>15</v>
      </c>
      <c r="M473" s="6">
        <v>187839</v>
      </c>
      <c r="N473" s="6">
        <v>3756780</v>
      </c>
      <c r="O473" s="6">
        <v>52</v>
      </c>
      <c r="P473" s="7">
        <v>3545.4276</v>
      </c>
      <c r="Q473" s="7">
        <v>14908.179</v>
      </c>
      <c r="R473" s="9">
        <f>D473*VLOOKUP(1001,적!$A$4:$D$13,3,FALSE)</f>
        <v>224531.25963360001</v>
      </c>
      <c r="S473" s="9">
        <f>D473*VLOOKUP(F473,보스!$A$4:$E$5,4,FALSE)</f>
        <v>8083125.3468096005</v>
      </c>
    </row>
    <row r="474" spans="1:19" ht="21.95" customHeight="1">
      <c r="A474" s="6">
        <v>5471</v>
      </c>
      <c r="B474" s="2" t="s">
        <v>622</v>
      </c>
      <c r="C474" s="6">
        <v>471</v>
      </c>
      <c r="D474" s="7">
        <v>112903.178684</v>
      </c>
      <c r="E474" s="2" t="s">
        <v>152</v>
      </c>
      <c r="F474" s="6">
        <v>2001</v>
      </c>
      <c r="G474" s="6">
        <v>5</v>
      </c>
      <c r="H474" s="7">
        <v>30</v>
      </c>
      <c r="I474" s="6">
        <v>5</v>
      </c>
      <c r="J474" s="6">
        <v>2</v>
      </c>
      <c r="K474" s="6">
        <v>1</v>
      </c>
      <c r="L474" s="6">
        <v>15</v>
      </c>
      <c r="M474" s="6">
        <v>188246</v>
      </c>
      <c r="N474" s="6">
        <v>3764920</v>
      </c>
      <c r="O474" s="6">
        <v>52</v>
      </c>
      <c r="P474" s="7">
        <v>3558.7754</v>
      </c>
      <c r="Q474" s="7">
        <v>14964.3025</v>
      </c>
      <c r="R474" s="9">
        <f>D474*VLOOKUP(1001,적!$A$4:$D$13,3,FALSE)</f>
        <v>225806.357368</v>
      </c>
      <c r="S474" s="9">
        <f>D474*VLOOKUP(F474,보스!$A$4:$E$5,4,FALSE)</f>
        <v>8129028.8652480002</v>
      </c>
    </row>
    <row r="475" spans="1:19" ht="21.95" customHeight="1">
      <c r="A475" s="6">
        <v>5472</v>
      </c>
      <c r="B475" s="2" t="s">
        <v>623</v>
      </c>
      <c r="C475" s="6">
        <v>472</v>
      </c>
      <c r="D475" s="7">
        <v>113543.50369096</v>
      </c>
      <c r="E475" s="2" t="s">
        <v>152</v>
      </c>
      <c r="F475" s="6">
        <v>2002</v>
      </c>
      <c r="G475" s="6">
        <v>5</v>
      </c>
      <c r="H475" s="7">
        <v>30</v>
      </c>
      <c r="I475" s="6">
        <v>5</v>
      </c>
      <c r="J475" s="6">
        <v>2</v>
      </c>
      <c r="K475" s="6">
        <v>1</v>
      </c>
      <c r="L475" s="6">
        <v>15</v>
      </c>
      <c r="M475" s="6">
        <v>188652</v>
      </c>
      <c r="N475" s="6">
        <v>3773040</v>
      </c>
      <c r="O475" s="6">
        <v>52</v>
      </c>
      <c r="P475" s="7">
        <v>3572.1478400000001</v>
      </c>
      <c r="Q475" s="7">
        <v>15020.5296</v>
      </c>
      <c r="R475" s="9">
        <f>D475*VLOOKUP(1001,적!$A$4:$D$13,3,FALSE)</f>
        <v>227087.00738192</v>
      </c>
      <c r="S475" s="9">
        <f>D475*VLOOKUP(F475,보스!$A$4:$E$5,4,FALSE)</f>
        <v>8175132.2657491202</v>
      </c>
    </row>
    <row r="476" spans="1:19" ht="21.95" customHeight="1">
      <c r="A476" s="6">
        <v>5473</v>
      </c>
      <c r="B476" s="2" t="s">
        <v>624</v>
      </c>
      <c r="C476" s="6">
        <v>473</v>
      </c>
      <c r="D476" s="7">
        <v>114186.6137664</v>
      </c>
      <c r="E476" s="2" t="s">
        <v>152</v>
      </c>
      <c r="F476" s="6">
        <v>2001</v>
      </c>
      <c r="G476" s="6">
        <v>5</v>
      </c>
      <c r="H476" s="7">
        <v>30</v>
      </c>
      <c r="I476" s="6">
        <v>5</v>
      </c>
      <c r="J476" s="6">
        <v>2</v>
      </c>
      <c r="K476" s="6">
        <v>1</v>
      </c>
      <c r="L476" s="6">
        <v>15</v>
      </c>
      <c r="M476" s="6">
        <v>189059</v>
      </c>
      <c r="N476" s="6">
        <v>3781180</v>
      </c>
      <c r="O476" s="6">
        <v>52</v>
      </c>
      <c r="P476" s="7">
        <v>3585.5449199999998</v>
      </c>
      <c r="Q476" s="7">
        <v>15076.8603</v>
      </c>
      <c r="R476" s="9">
        <f>D476*VLOOKUP(1001,적!$A$4:$D$13,3,FALSE)</f>
        <v>228373.2275328</v>
      </c>
      <c r="S476" s="9">
        <f>D476*VLOOKUP(F476,보스!$A$4:$E$5,4,FALSE)</f>
        <v>8221436.1911808001</v>
      </c>
    </row>
    <row r="477" spans="1:19" ht="21.95" customHeight="1">
      <c r="A477" s="6">
        <v>5474</v>
      </c>
      <c r="B477" s="2" t="s">
        <v>625</v>
      </c>
      <c r="C477" s="6">
        <v>474</v>
      </c>
      <c r="D477" s="7">
        <v>114832.51785632</v>
      </c>
      <c r="E477" s="2" t="s">
        <v>152</v>
      </c>
      <c r="F477" s="6">
        <v>2002</v>
      </c>
      <c r="G477" s="6">
        <v>5</v>
      </c>
      <c r="H477" s="7">
        <v>30</v>
      </c>
      <c r="I477" s="6">
        <v>5</v>
      </c>
      <c r="J477" s="6">
        <v>2</v>
      </c>
      <c r="K477" s="6">
        <v>1</v>
      </c>
      <c r="L477" s="6">
        <v>15</v>
      </c>
      <c r="M477" s="6">
        <v>189465</v>
      </c>
      <c r="N477" s="6">
        <v>3789300</v>
      </c>
      <c r="O477" s="6">
        <v>52</v>
      </c>
      <c r="P477" s="7">
        <v>3598.9666400000001</v>
      </c>
      <c r="Q477" s="7">
        <v>15133.294599999999</v>
      </c>
      <c r="R477" s="9">
        <f>D477*VLOOKUP(1001,적!$A$4:$D$13,3,FALSE)</f>
        <v>229665.03571264</v>
      </c>
      <c r="S477" s="9">
        <f>D477*VLOOKUP(F477,보스!$A$4:$E$5,4,FALSE)</f>
        <v>8267941.2856550403</v>
      </c>
    </row>
    <row r="478" spans="1:19" ht="21.95" customHeight="1">
      <c r="A478" s="6">
        <v>5475</v>
      </c>
      <c r="B478" s="2" t="s">
        <v>626</v>
      </c>
      <c r="C478" s="6">
        <v>475</v>
      </c>
      <c r="D478" s="7">
        <v>115481.22492399999</v>
      </c>
      <c r="E478" s="2" t="s">
        <v>152</v>
      </c>
      <c r="F478" s="6">
        <v>2001</v>
      </c>
      <c r="G478" s="6">
        <v>5</v>
      </c>
      <c r="H478" s="7">
        <v>30</v>
      </c>
      <c r="I478" s="6">
        <v>5</v>
      </c>
      <c r="J478" s="6">
        <v>2</v>
      </c>
      <c r="K478" s="6">
        <v>1</v>
      </c>
      <c r="L478" s="6">
        <v>15</v>
      </c>
      <c r="M478" s="6">
        <v>189872</v>
      </c>
      <c r="N478" s="6">
        <v>3797440</v>
      </c>
      <c r="O478" s="6">
        <v>52</v>
      </c>
      <c r="P478" s="7">
        <v>3612.413</v>
      </c>
      <c r="Q478" s="7">
        <v>15189.8325</v>
      </c>
      <c r="R478" s="9">
        <f>D478*VLOOKUP(1001,적!$A$4:$D$13,3,FALSE)</f>
        <v>230962.44984799999</v>
      </c>
      <c r="S478" s="9">
        <f>D478*VLOOKUP(F478,보스!$A$4:$E$5,4,FALSE)</f>
        <v>8314648.1945279995</v>
      </c>
    </row>
    <row r="479" spans="1:19" ht="21.95" customHeight="1">
      <c r="A479" s="6">
        <v>5476</v>
      </c>
      <c r="B479" s="2" t="s">
        <v>627</v>
      </c>
      <c r="C479" s="6">
        <v>476</v>
      </c>
      <c r="D479" s="7">
        <v>116132.74395</v>
      </c>
      <c r="E479" s="2" t="s">
        <v>152</v>
      </c>
      <c r="F479" s="6">
        <v>2002</v>
      </c>
      <c r="G479" s="6">
        <v>5</v>
      </c>
      <c r="H479" s="7">
        <v>30</v>
      </c>
      <c r="I479" s="6">
        <v>5</v>
      </c>
      <c r="J479" s="6">
        <v>2</v>
      </c>
      <c r="K479" s="6">
        <v>1</v>
      </c>
      <c r="L479" s="6">
        <v>15</v>
      </c>
      <c r="M479" s="6">
        <v>190278</v>
      </c>
      <c r="N479" s="6">
        <v>3805560</v>
      </c>
      <c r="O479" s="6">
        <v>52</v>
      </c>
      <c r="P479" s="7">
        <v>3625.884</v>
      </c>
      <c r="Q479" s="7">
        <v>15246.474</v>
      </c>
      <c r="R479" s="9">
        <f>D479*VLOOKUP(1001,적!$A$4:$D$13,3,FALSE)</f>
        <v>232265.48790000001</v>
      </c>
      <c r="S479" s="9">
        <f>D479*VLOOKUP(F479,보스!$A$4:$E$5,4,FALSE)</f>
        <v>8361557.5644000005</v>
      </c>
    </row>
    <row r="480" spans="1:19" ht="21.95" customHeight="1">
      <c r="A480" s="6">
        <v>5477</v>
      </c>
      <c r="B480" s="2" t="s">
        <v>628</v>
      </c>
      <c r="C480" s="6">
        <v>477</v>
      </c>
      <c r="D480" s="7">
        <v>116787.08393216001</v>
      </c>
      <c r="E480" s="2" t="s">
        <v>152</v>
      </c>
      <c r="F480" s="6">
        <v>2001</v>
      </c>
      <c r="G480" s="6">
        <v>5</v>
      </c>
      <c r="H480" s="7">
        <v>30</v>
      </c>
      <c r="I480" s="6">
        <v>5</v>
      </c>
      <c r="J480" s="6">
        <v>2</v>
      </c>
      <c r="K480" s="6">
        <v>1</v>
      </c>
      <c r="L480" s="6">
        <v>15</v>
      </c>
      <c r="M480" s="6">
        <v>190685</v>
      </c>
      <c r="N480" s="6">
        <v>3813700</v>
      </c>
      <c r="O480" s="6">
        <v>52</v>
      </c>
      <c r="P480" s="7">
        <v>3639.3796400000001</v>
      </c>
      <c r="Q480" s="7">
        <v>15303.2191</v>
      </c>
      <c r="R480" s="9">
        <f>D480*VLOOKUP(1001,적!$A$4:$D$13,3,FALSE)</f>
        <v>233574.16786432001</v>
      </c>
      <c r="S480" s="9">
        <f>D480*VLOOKUP(F480,보스!$A$4:$E$5,4,FALSE)</f>
        <v>8408670.0431155208</v>
      </c>
    </row>
    <row r="481" spans="1:19" ht="21.95" customHeight="1">
      <c r="A481" s="6">
        <v>5478</v>
      </c>
      <c r="B481" s="2" t="s">
        <v>629</v>
      </c>
      <c r="C481" s="6">
        <v>478</v>
      </c>
      <c r="D481" s="7">
        <v>117444.2538856</v>
      </c>
      <c r="E481" s="2" t="s">
        <v>152</v>
      </c>
      <c r="F481" s="6">
        <v>2002</v>
      </c>
      <c r="G481" s="6">
        <v>5</v>
      </c>
      <c r="H481" s="7">
        <v>30</v>
      </c>
      <c r="I481" s="6">
        <v>5</v>
      </c>
      <c r="J481" s="6">
        <v>2</v>
      </c>
      <c r="K481" s="6">
        <v>1</v>
      </c>
      <c r="L481" s="6">
        <v>15</v>
      </c>
      <c r="M481" s="6">
        <v>191091</v>
      </c>
      <c r="N481" s="6">
        <v>3821820</v>
      </c>
      <c r="O481" s="6">
        <v>52</v>
      </c>
      <c r="P481" s="7">
        <v>3652.8999199999998</v>
      </c>
      <c r="Q481" s="7">
        <v>15360.067800000001</v>
      </c>
      <c r="R481" s="9">
        <f>D481*VLOOKUP(1001,적!$A$4:$D$13,3,FALSE)</f>
        <v>234888.50777120001</v>
      </c>
      <c r="S481" s="9">
        <f>D481*VLOOKUP(F481,보스!$A$4:$E$5,4,FALSE)</f>
        <v>8455986.2797631994</v>
      </c>
    </row>
    <row r="482" spans="1:19" ht="21.95" customHeight="1">
      <c r="A482" s="6">
        <v>5479</v>
      </c>
      <c r="B482" s="2" t="s">
        <v>630</v>
      </c>
      <c r="C482" s="6">
        <v>479</v>
      </c>
      <c r="D482" s="7">
        <v>118104.26284272</v>
      </c>
      <c r="E482" s="2" t="s">
        <v>152</v>
      </c>
      <c r="F482" s="6">
        <v>2001</v>
      </c>
      <c r="G482" s="6">
        <v>5</v>
      </c>
      <c r="H482" s="7">
        <v>30</v>
      </c>
      <c r="I482" s="6">
        <v>5</v>
      </c>
      <c r="J482" s="6">
        <v>2</v>
      </c>
      <c r="K482" s="6">
        <v>1</v>
      </c>
      <c r="L482" s="6">
        <v>15</v>
      </c>
      <c r="M482" s="6">
        <v>191498</v>
      </c>
      <c r="N482" s="6">
        <v>3829960</v>
      </c>
      <c r="O482" s="6">
        <v>52</v>
      </c>
      <c r="P482" s="7">
        <v>3666.4448400000001</v>
      </c>
      <c r="Q482" s="7">
        <v>15417.0201</v>
      </c>
      <c r="R482" s="9">
        <f>D482*VLOOKUP(1001,적!$A$4:$D$13,3,FALSE)</f>
        <v>236208.52568543999</v>
      </c>
      <c r="S482" s="9">
        <f>D482*VLOOKUP(F482,보스!$A$4:$E$5,4,FALSE)</f>
        <v>8503506.924675839</v>
      </c>
    </row>
    <row r="483" spans="1:19" ht="21.95" customHeight="1">
      <c r="A483" s="6">
        <v>5480</v>
      </c>
      <c r="B483" s="2" t="s">
        <v>631</v>
      </c>
      <c r="C483" s="6">
        <v>480</v>
      </c>
      <c r="D483" s="7">
        <v>118767.1198532</v>
      </c>
      <c r="E483" s="2" t="s">
        <v>152</v>
      </c>
      <c r="F483" s="6">
        <v>2002</v>
      </c>
      <c r="G483" s="6">
        <v>5</v>
      </c>
      <c r="H483" s="7">
        <v>30</v>
      </c>
      <c r="I483" s="6">
        <v>5</v>
      </c>
      <c r="J483" s="6">
        <v>2</v>
      </c>
      <c r="K483" s="6">
        <v>1</v>
      </c>
      <c r="L483" s="6">
        <v>15</v>
      </c>
      <c r="M483" s="6">
        <v>191904</v>
      </c>
      <c r="N483" s="6">
        <v>3838080</v>
      </c>
      <c r="O483" s="6">
        <v>53</v>
      </c>
      <c r="P483" s="7">
        <v>3680.0144</v>
      </c>
      <c r="Q483" s="7">
        <v>15474.075999999999</v>
      </c>
      <c r="R483" s="9">
        <f>D483*VLOOKUP(1001,적!$A$4:$D$13,3,FALSE)</f>
        <v>237534.2397064</v>
      </c>
      <c r="S483" s="9">
        <f>D483*VLOOKUP(F483,보스!$A$4:$E$5,4,FALSE)</f>
        <v>8551232.6294304002</v>
      </c>
    </row>
    <row r="484" spans="1:19" ht="21.95" customHeight="1">
      <c r="A484" s="6">
        <v>5481</v>
      </c>
      <c r="B484" s="2" t="s">
        <v>632</v>
      </c>
      <c r="C484" s="6">
        <v>481</v>
      </c>
      <c r="D484" s="7">
        <v>119432.833984</v>
      </c>
      <c r="E484" s="2" t="s">
        <v>152</v>
      </c>
      <c r="F484" s="6">
        <v>2001</v>
      </c>
      <c r="G484" s="6">
        <v>5</v>
      </c>
      <c r="H484" s="7">
        <v>30</v>
      </c>
      <c r="I484" s="6">
        <v>5</v>
      </c>
      <c r="J484" s="6">
        <v>2</v>
      </c>
      <c r="K484" s="6">
        <v>1</v>
      </c>
      <c r="L484" s="6">
        <v>15</v>
      </c>
      <c r="M484" s="6">
        <v>192311</v>
      </c>
      <c r="N484" s="6">
        <v>3846220</v>
      </c>
      <c r="O484" s="6">
        <v>53</v>
      </c>
      <c r="P484" s="7">
        <v>3693.6086</v>
      </c>
      <c r="Q484" s="7">
        <v>15531.235500000001</v>
      </c>
      <c r="R484" s="9">
        <f>D484*VLOOKUP(1001,적!$A$4:$D$13,3,FALSE)</f>
        <v>238865.66796799999</v>
      </c>
      <c r="S484" s="9">
        <f>D484*VLOOKUP(F484,보스!$A$4:$E$5,4,FALSE)</f>
        <v>8599164.0468479991</v>
      </c>
    </row>
    <row r="485" spans="1:19" ht="21.95" customHeight="1">
      <c r="A485" s="6">
        <v>5482</v>
      </c>
      <c r="B485" s="2" t="s">
        <v>633</v>
      </c>
      <c r="C485" s="6">
        <v>482</v>
      </c>
      <c r="D485" s="7">
        <v>120101.41431936</v>
      </c>
      <c r="E485" s="2" t="s">
        <v>152</v>
      </c>
      <c r="F485" s="6">
        <v>2002</v>
      </c>
      <c r="G485" s="6">
        <v>5</v>
      </c>
      <c r="H485" s="7">
        <v>30</v>
      </c>
      <c r="I485" s="6">
        <v>5</v>
      </c>
      <c r="J485" s="6">
        <v>2</v>
      </c>
      <c r="K485" s="6">
        <v>1</v>
      </c>
      <c r="L485" s="6">
        <v>15</v>
      </c>
      <c r="M485" s="6">
        <v>192717</v>
      </c>
      <c r="N485" s="6">
        <v>3854340</v>
      </c>
      <c r="O485" s="6">
        <v>53</v>
      </c>
      <c r="P485" s="7">
        <v>3707.2274400000001</v>
      </c>
      <c r="Q485" s="7">
        <v>15588.498600000001</v>
      </c>
      <c r="R485" s="9">
        <f>D485*VLOOKUP(1001,적!$A$4:$D$13,3,FALSE)</f>
        <v>240202.82863872001</v>
      </c>
      <c r="S485" s="9">
        <f>D485*VLOOKUP(F485,보스!$A$4:$E$5,4,FALSE)</f>
        <v>8647301.8309939206</v>
      </c>
    </row>
    <row r="486" spans="1:19" ht="21.95" customHeight="1">
      <c r="A486" s="6">
        <v>5483</v>
      </c>
      <c r="B486" s="2" t="s">
        <v>634</v>
      </c>
      <c r="C486" s="6">
        <v>483</v>
      </c>
      <c r="D486" s="7">
        <v>120772.8699608</v>
      </c>
      <c r="E486" s="2" t="s">
        <v>152</v>
      </c>
      <c r="F486" s="6">
        <v>2001</v>
      </c>
      <c r="G486" s="6">
        <v>5</v>
      </c>
      <c r="H486" s="7">
        <v>30</v>
      </c>
      <c r="I486" s="6">
        <v>5</v>
      </c>
      <c r="J486" s="6">
        <v>2</v>
      </c>
      <c r="K486" s="6">
        <v>1</v>
      </c>
      <c r="L486" s="6">
        <v>15</v>
      </c>
      <c r="M486" s="6">
        <v>193124</v>
      </c>
      <c r="N486" s="6">
        <v>3862480</v>
      </c>
      <c r="O486" s="6">
        <v>53</v>
      </c>
      <c r="P486" s="7">
        <v>3720.8709199999998</v>
      </c>
      <c r="Q486" s="7">
        <v>15645.865299999999</v>
      </c>
      <c r="R486" s="9">
        <f>D486*VLOOKUP(1001,적!$A$4:$D$13,3,FALSE)</f>
        <v>241545.7399216</v>
      </c>
      <c r="S486" s="9">
        <f>D486*VLOOKUP(F486,보스!$A$4:$E$5,4,FALSE)</f>
        <v>8695646.6371775996</v>
      </c>
    </row>
    <row r="487" spans="1:19" ht="21.95" customHeight="1">
      <c r="A487" s="6">
        <v>5484</v>
      </c>
      <c r="B487" s="2" t="s">
        <v>635</v>
      </c>
      <c r="C487" s="6">
        <v>484</v>
      </c>
      <c r="D487" s="7">
        <v>121447.21002712</v>
      </c>
      <c r="E487" s="2" t="s">
        <v>152</v>
      </c>
      <c r="F487" s="6">
        <v>2002</v>
      </c>
      <c r="G487" s="6">
        <v>5</v>
      </c>
      <c r="H487" s="7">
        <v>30</v>
      </c>
      <c r="I487" s="6">
        <v>5</v>
      </c>
      <c r="J487" s="6">
        <v>2</v>
      </c>
      <c r="K487" s="6">
        <v>1</v>
      </c>
      <c r="L487" s="6">
        <v>15</v>
      </c>
      <c r="M487" s="6">
        <v>193530</v>
      </c>
      <c r="N487" s="6">
        <v>3870600</v>
      </c>
      <c r="O487" s="6">
        <v>53</v>
      </c>
      <c r="P487" s="7">
        <v>3734.5390400000001</v>
      </c>
      <c r="Q487" s="7">
        <v>15703.3356</v>
      </c>
      <c r="R487" s="9">
        <f>D487*VLOOKUP(1001,적!$A$4:$D$13,3,FALSE)</f>
        <v>242894.42005424001</v>
      </c>
      <c r="S487" s="9">
        <f>D487*VLOOKUP(F487,보스!$A$4:$E$5,4,FALSE)</f>
        <v>8744199.1219526399</v>
      </c>
    </row>
    <row r="488" spans="1:19" ht="21.95" customHeight="1">
      <c r="A488" s="6">
        <v>5485</v>
      </c>
      <c r="B488" s="2" t="s">
        <v>636</v>
      </c>
      <c r="C488" s="6">
        <v>485</v>
      </c>
      <c r="D488" s="7">
        <v>122124.44365440001</v>
      </c>
      <c r="E488" s="2" t="s">
        <v>152</v>
      </c>
      <c r="F488" s="6">
        <v>2001</v>
      </c>
      <c r="G488" s="6">
        <v>5</v>
      </c>
      <c r="H488" s="7">
        <v>30</v>
      </c>
      <c r="I488" s="6">
        <v>5</v>
      </c>
      <c r="J488" s="6">
        <v>2</v>
      </c>
      <c r="K488" s="6">
        <v>1</v>
      </c>
      <c r="L488" s="6">
        <v>15</v>
      </c>
      <c r="M488" s="6">
        <v>193937</v>
      </c>
      <c r="N488" s="6">
        <v>3878740</v>
      </c>
      <c r="O488" s="6">
        <v>53</v>
      </c>
      <c r="P488" s="7">
        <v>3748.2318</v>
      </c>
      <c r="Q488" s="7">
        <v>15760.9095</v>
      </c>
      <c r="R488" s="9">
        <f>D488*VLOOKUP(1001,적!$A$4:$D$13,3,FALSE)</f>
        <v>244248.88730880001</v>
      </c>
      <c r="S488" s="9">
        <f>D488*VLOOKUP(F488,보스!$A$4:$E$5,4,FALSE)</f>
        <v>8792959.9431168009</v>
      </c>
    </row>
    <row r="489" spans="1:19" ht="21.95" customHeight="1">
      <c r="A489" s="6">
        <v>5486</v>
      </c>
      <c r="B489" s="2" t="s">
        <v>637</v>
      </c>
      <c r="C489" s="6">
        <v>486</v>
      </c>
      <c r="D489" s="7">
        <v>122804.579996</v>
      </c>
      <c r="E489" s="2" t="s">
        <v>152</v>
      </c>
      <c r="F489" s="6">
        <v>2002</v>
      </c>
      <c r="G489" s="6">
        <v>5</v>
      </c>
      <c r="H489" s="7">
        <v>30</v>
      </c>
      <c r="I489" s="6">
        <v>5</v>
      </c>
      <c r="J489" s="6">
        <v>2</v>
      </c>
      <c r="K489" s="6">
        <v>1</v>
      </c>
      <c r="L489" s="6">
        <v>15</v>
      </c>
      <c r="M489" s="6">
        <v>194343</v>
      </c>
      <c r="N489" s="6">
        <v>3886860</v>
      </c>
      <c r="O489" s="6">
        <v>53</v>
      </c>
      <c r="P489" s="7">
        <v>3761.9492</v>
      </c>
      <c r="Q489" s="7">
        <v>15818.587</v>
      </c>
      <c r="R489" s="9">
        <f>D489*VLOOKUP(1001,적!$A$4:$D$13,3,FALSE)</f>
        <v>245609.159992</v>
      </c>
      <c r="S489" s="9">
        <f>D489*VLOOKUP(F489,보스!$A$4:$E$5,4,FALSE)</f>
        <v>8841929.7597119994</v>
      </c>
    </row>
    <row r="490" spans="1:19" ht="21.95" customHeight="1">
      <c r="A490" s="6">
        <v>5487</v>
      </c>
      <c r="B490" s="2" t="s">
        <v>638</v>
      </c>
      <c r="C490" s="6">
        <v>487</v>
      </c>
      <c r="D490" s="7">
        <v>123487.62822256</v>
      </c>
      <c r="E490" s="2" t="s">
        <v>152</v>
      </c>
      <c r="F490" s="6">
        <v>2001</v>
      </c>
      <c r="G490" s="6">
        <v>5</v>
      </c>
      <c r="H490" s="7">
        <v>30</v>
      </c>
      <c r="I490" s="6">
        <v>5</v>
      </c>
      <c r="J490" s="6">
        <v>2</v>
      </c>
      <c r="K490" s="6">
        <v>1</v>
      </c>
      <c r="L490" s="6">
        <v>15</v>
      </c>
      <c r="M490" s="6">
        <v>194750</v>
      </c>
      <c r="N490" s="6">
        <v>3895000</v>
      </c>
      <c r="O490" s="6">
        <v>53</v>
      </c>
      <c r="P490" s="7">
        <v>3775.6912400000001</v>
      </c>
      <c r="Q490" s="7">
        <v>15876.3681</v>
      </c>
      <c r="R490" s="9">
        <f>D490*VLOOKUP(1001,적!$A$4:$D$13,3,FALSE)</f>
        <v>246975.25644512</v>
      </c>
      <c r="S490" s="9">
        <f>D490*VLOOKUP(F490,보스!$A$4:$E$5,4,FALSE)</f>
        <v>8891109.2320243195</v>
      </c>
    </row>
    <row r="491" spans="1:19" ht="21.95" customHeight="1">
      <c r="A491" s="6">
        <v>5488</v>
      </c>
      <c r="B491" s="2" t="s">
        <v>639</v>
      </c>
      <c r="C491" s="6">
        <v>488</v>
      </c>
      <c r="D491" s="7">
        <v>124173.597522</v>
      </c>
      <c r="E491" s="2" t="s">
        <v>152</v>
      </c>
      <c r="F491" s="6">
        <v>2002</v>
      </c>
      <c r="G491" s="6">
        <v>5</v>
      </c>
      <c r="H491" s="7">
        <v>30</v>
      </c>
      <c r="I491" s="6">
        <v>5</v>
      </c>
      <c r="J491" s="6">
        <v>2</v>
      </c>
      <c r="K491" s="6">
        <v>1</v>
      </c>
      <c r="L491" s="6">
        <v>15</v>
      </c>
      <c r="M491" s="6">
        <v>195156</v>
      </c>
      <c r="N491" s="6">
        <v>3903120</v>
      </c>
      <c r="O491" s="6">
        <v>53</v>
      </c>
      <c r="P491" s="7">
        <v>3789.4579199999998</v>
      </c>
      <c r="Q491" s="7">
        <v>15934.2528</v>
      </c>
      <c r="R491" s="9">
        <f>D491*VLOOKUP(1001,적!$A$4:$D$13,3,FALSE)</f>
        <v>248347.19504399999</v>
      </c>
      <c r="S491" s="9">
        <f>D491*VLOOKUP(F491,보스!$A$4:$E$5,4,FALSE)</f>
        <v>8940499.0215840004</v>
      </c>
    </row>
    <row r="492" spans="1:19" ht="21.95" customHeight="1">
      <c r="A492" s="6">
        <v>5489</v>
      </c>
      <c r="B492" s="2" t="s">
        <v>640</v>
      </c>
      <c r="C492" s="6">
        <v>489</v>
      </c>
      <c r="D492" s="7">
        <v>124862.49709952</v>
      </c>
      <c r="E492" s="2" t="s">
        <v>152</v>
      </c>
      <c r="F492" s="6">
        <v>2001</v>
      </c>
      <c r="G492" s="6">
        <v>5</v>
      </c>
      <c r="H492" s="7">
        <v>30</v>
      </c>
      <c r="I492" s="6">
        <v>5</v>
      </c>
      <c r="J492" s="6">
        <v>2</v>
      </c>
      <c r="K492" s="6">
        <v>1</v>
      </c>
      <c r="L492" s="6">
        <v>15</v>
      </c>
      <c r="M492" s="6">
        <v>195562</v>
      </c>
      <c r="N492" s="6">
        <v>3911240</v>
      </c>
      <c r="O492" s="6">
        <v>53</v>
      </c>
      <c r="P492" s="7">
        <v>3803.2492400000001</v>
      </c>
      <c r="Q492" s="7">
        <v>15992.241099999999</v>
      </c>
      <c r="R492" s="9">
        <f>D492*VLOOKUP(1001,적!$A$4:$D$13,3,FALSE)</f>
        <v>249724.99419904</v>
      </c>
      <c r="S492" s="9">
        <f>D492*VLOOKUP(F492,보스!$A$4:$E$5,4,FALSE)</f>
        <v>8990099.7911654394</v>
      </c>
    </row>
    <row r="493" spans="1:19" ht="21.95" customHeight="1">
      <c r="A493" s="6">
        <v>5490</v>
      </c>
      <c r="B493" s="2" t="s">
        <v>641</v>
      </c>
      <c r="C493" s="6">
        <v>490</v>
      </c>
      <c r="D493" s="7">
        <v>125554.33617759999</v>
      </c>
      <c r="E493" s="2" t="s">
        <v>152</v>
      </c>
      <c r="F493" s="6">
        <v>2002</v>
      </c>
      <c r="G493" s="6">
        <v>5</v>
      </c>
      <c r="H493" s="7">
        <v>30</v>
      </c>
      <c r="I493" s="6">
        <v>5</v>
      </c>
      <c r="J493" s="6">
        <v>2</v>
      </c>
      <c r="K493" s="6">
        <v>1</v>
      </c>
      <c r="L493" s="6">
        <v>15</v>
      </c>
      <c r="M493" s="6">
        <v>195969</v>
      </c>
      <c r="N493" s="6">
        <v>3919380</v>
      </c>
      <c r="O493" s="6">
        <v>54</v>
      </c>
      <c r="P493" s="7">
        <v>3817.0652</v>
      </c>
      <c r="Q493" s="7">
        <v>16050.333000000001</v>
      </c>
      <c r="R493" s="9">
        <f>D493*VLOOKUP(1001,적!$A$4:$D$13,3,FALSE)</f>
        <v>251108.67235519999</v>
      </c>
      <c r="S493" s="9">
        <f>D493*VLOOKUP(F493,보스!$A$4:$E$5,4,FALSE)</f>
        <v>9039912.2047872003</v>
      </c>
    </row>
    <row r="494" spans="1:19" ht="21.95" customHeight="1">
      <c r="A494" s="6">
        <v>5491</v>
      </c>
      <c r="B494" s="2" t="s">
        <v>642</v>
      </c>
      <c r="C494" s="6">
        <v>491</v>
      </c>
      <c r="D494" s="7">
        <v>126249.12399599999</v>
      </c>
      <c r="E494" s="2" t="s">
        <v>152</v>
      </c>
      <c r="F494" s="6">
        <v>2001</v>
      </c>
      <c r="G494" s="6">
        <v>5</v>
      </c>
      <c r="H494" s="7">
        <v>30</v>
      </c>
      <c r="I494" s="6">
        <v>5</v>
      </c>
      <c r="J494" s="6">
        <v>2</v>
      </c>
      <c r="K494" s="6">
        <v>1</v>
      </c>
      <c r="L494" s="6">
        <v>15</v>
      </c>
      <c r="M494" s="6">
        <v>196375</v>
      </c>
      <c r="N494" s="6">
        <v>3927500</v>
      </c>
      <c r="O494" s="6">
        <v>54</v>
      </c>
      <c r="P494" s="7">
        <v>3830.9058</v>
      </c>
      <c r="Q494" s="7">
        <v>16108.5285</v>
      </c>
      <c r="R494" s="9">
        <f>D494*VLOOKUP(1001,적!$A$4:$D$13,3,FALSE)</f>
        <v>252498.24799199999</v>
      </c>
      <c r="S494" s="9">
        <f>D494*VLOOKUP(F494,보스!$A$4:$E$5,4,FALSE)</f>
        <v>9089936.927711999</v>
      </c>
    </row>
    <row r="495" spans="1:19" ht="21.95" customHeight="1">
      <c r="A495" s="6">
        <v>5492</v>
      </c>
      <c r="B495" s="2" t="s">
        <v>643</v>
      </c>
      <c r="C495" s="6">
        <v>492</v>
      </c>
      <c r="D495" s="7">
        <v>126946.86981176</v>
      </c>
      <c r="E495" s="2" t="s">
        <v>152</v>
      </c>
      <c r="F495" s="6">
        <v>2002</v>
      </c>
      <c r="G495" s="6">
        <v>5</v>
      </c>
      <c r="H495" s="7">
        <v>30</v>
      </c>
      <c r="I495" s="6">
        <v>5</v>
      </c>
      <c r="J495" s="6">
        <v>2</v>
      </c>
      <c r="K495" s="6">
        <v>1</v>
      </c>
      <c r="L495" s="6">
        <v>15</v>
      </c>
      <c r="M495" s="6">
        <v>196782</v>
      </c>
      <c r="N495" s="6">
        <v>3935640</v>
      </c>
      <c r="O495" s="6">
        <v>54</v>
      </c>
      <c r="P495" s="7">
        <v>3844.7710400000001</v>
      </c>
      <c r="Q495" s="7">
        <v>16166.827600000001</v>
      </c>
      <c r="R495" s="9">
        <f>D495*VLOOKUP(1001,적!$A$4:$D$13,3,FALSE)</f>
        <v>253893.73962352</v>
      </c>
      <c r="S495" s="9">
        <f>D495*VLOOKUP(F495,보스!$A$4:$E$5,4,FALSE)</f>
        <v>9140174.6264467202</v>
      </c>
    </row>
    <row r="496" spans="1:19" ht="21.95" customHeight="1">
      <c r="A496" s="6">
        <v>5493</v>
      </c>
      <c r="B496" s="2" t="s">
        <v>644</v>
      </c>
      <c r="C496" s="6">
        <v>493</v>
      </c>
      <c r="D496" s="7">
        <v>127647.5828992</v>
      </c>
      <c r="E496" s="2" t="s">
        <v>152</v>
      </c>
      <c r="F496" s="6">
        <v>2001</v>
      </c>
      <c r="G496" s="6">
        <v>5</v>
      </c>
      <c r="H496" s="7">
        <v>30</v>
      </c>
      <c r="I496" s="6">
        <v>5</v>
      </c>
      <c r="J496" s="6">
        <v>2</v>
      </c>
      <c r="K496" s="6">
        <v>1</v>
      </c>
      <c r="L496" s="6">
        <v>15</v>
      </c>
      <c r="M496" s="6">
        <v>197188</v>
      </c>
      <c r="N496" s="6">
        <v>3943760</v>
      </c>
      <c r="O496" s="6">
        <v>54</v>
      </c>
      <c r="P496" s="7">
        <v>3858.6609199999998</v>
      </c>
      <c r="Q496" s="7">
        <v>16225.230299999999</v>
      </c>
      <c r="R496" s="9">
        <f>D496*VLOOKUP(1001,적!$A$4:$D$13,3,FALSE)</f>
        <v>255295.1657984</v>
      </c>
      <c r="S496" s="9">
        <f>D496*VLOOKUP(F496,보스!$A$4:$E$5,4,FALSE)</f>
        <v>9190625.9687424004</v>
      </c>
    </row>
    <row r="497" spans="1:19" ht="21.95" customHeight="1">
      <c r="A497" s="6">
        <v>5494</v>
      </c>
      <c r="B497" s="2" t="s">
        <v>645</v>
      </c>
      <c r="C497" s="6">
        <v>494</v>
      </c>
      <c r="D497" s="7">
        <v>128351.27254992</v>
      </c>
      <c r="E497" s="2" t="s">
        <v>152</v>
      </c>
      <c r="F497" s="6">
        <v>2002</v>
      </c>
      <c r="G497" s="6">
        <v>5</v>
      </c>
      <c r="H497" s="7">
        <v>30</v>
      </c>
      <c r="I497" s="6">
        <v>5</v>
      </c>
      <c r="J497" s="6">
        <v>2</v>
      </c>
      <c r="K497" s="6">
        <v>1</v>
      </c>
      <c r="L497" s="6">
        <v>15</v>
      </c>
      <c r="M497" s="6">
        <v>197595</v>
      </c>
      <c r="N497" s="6">
        <v>3951900</v>
      </c>
      <c r="O497" s="6">
        <v>54</v>
      </c>
      <c r="P497" s="7">
        <v>3872.5754400000001</v>
      </c>
      <c r="Q497" s="7">
        <v>16283.7366</v>
      </c>
      <c r="R497" s="9">
        <f>D497*VLOOKUP(1001,적!$A$4:$D$13,3,FALSE)</f>
        <v>256702.54509984</v>
      </c>
      <c r="S497" s="9">
        <f>D497*VLOOKUP(F497,보스!$A$4:$E$5,4,FALSE)</f>
        <v>9241291.6235942394</v>
      </c>
    </row>
    <row r="498" spans="1:19" ht="21.95" customHeight="1">
      <c r="A498" s="6">
        <v>5495</v>
      </c>
      <c r="B498" s="2" t="s">
        <v>646</v>
      </c>
      <c r="C498" s="6">
        <v>495</v>
      </c>
      <c r="D498" s="7">
        <v>129057.94807280001</v>
      </c>
      <c r="E498" s="2" t="s">
        <v>152</v>
      </c>
      <c r="F498" s="6">
        <v>2001</v>
      </c>
      <c r="G498" s="6">
        <v>5</v>
      </c>
      <c r="H498" s="7">
        <v>30</v>
      </c>
      <c r="I498" s="6">
        <v>5</v>
      </c>
      <c r="J498" s="6">
        <v>2</v>
      </c>
      <c r="K498" s="6">
        <v>1</v>
      </c>
      <c r="L498" s="6">
        <v>15</v>
      </c>
      <c r="M498" s="6">
        <v>198001</v>
      </c>
      <c r="N498" s="6">
        <v>3960020</v>
      </c>
      <c r="O498" s="6">
        <v>54</v>
      </c>
      <c r="P498" s="7">
        <v>3886.5146</v>
      </c>
      <c r="Q498" s="7">
        <v>16342.3465</v>
      </c>
      <c r="R498" s="9">
        <f>D498*VLOOKUP(1001,적!$A$4:$D$13,3,FALSE)</f>
        <v>258115.89614560001</v>
      </c>
      <c r="S498" s="9">
        <f>D498*VLOOKUP(F498,보스!$A$4:$E$5,4,FALSE)</f>
        <v>9292172.2612415999</v>
      </c>
    </row>
    <row r="499" spans="1:19" ht="21.95" customHeight="1">
      <c r="A499" s="6">
        <v>5496</v>
      </c>
      <c r="B499" s="2" t="s">
        <v>647</v>
      </c>
      <c r="C499" s="6">
        <v>496</v>
      </c>
      <c r="D499" s="7">
        <v>129767.61879399999</v>
      </c>
      <c r="E499" s="2" t="s">
        <v>152</v>
      </c>
      <c r="F499" s="6">
        <v>2002</v>
      </c>
      <c r="G499" s="6">
        <v>5</v>
      </c>
      <c r="H499" s="7">
        <v>30</v>
      </c>
      <c r="I499" s="6">
        <v>5</v>
      </c>
      <c r="J499" s="6">
        <v>2</v>
      </c>
      <c r="K499" s="6">
        <v>1</v>
      </c>
      <c r="L499" s="6">
        <v>15</v>
      </c>
      <c r="M499" s="6">
        <v>198407</v>
      </c>
      <c r="N499" s="6">
        <v>3968140</v>
      </c>
      <c r="O499" s="6">
        <v>54</v>
      </c>
      <c r="P499" s="7">
        <v>3900.4784</v>
      </c>
      <c r="Q499" s="7">
        <v>16401.060000000001</v>
      </c>
      <c r="R499" s="9">
        <f>D499*VLOOKUP(1001,적!$A$4:$D$13,3,FALSE)</f>
        <v>259535.23758799999</v>
      </c>
      <c r="S499" s="9">
        <f>D499*VLOOKUP(F499,보스!$A$4:$E$5,4,FALSE)</f>
        <v>9343268.5531679988</v>
      </c>
    </row>
    <row r="500" spans="1:19" ht="21.95" customHeight="1">
      <c r="A500" s="6">
        <v>5497</v>
      </c>
      <c r="B500" s="2" t="s">
        <v>648</v>
      </c>
      <c r="C500" s="6">
        <v>497</v>
      </c>
      <c r="D500" s="7">
        <v>130480.29405696</v>
      </c>
      <c r="E500" s="2" t="s">
        <v>152</v>
      </c>
      <c r="F500" s="6">
        <v>2001</v>
      </c>
      <c r="G500" s="6">
        <v>5</v>
      </c>
      <c r="H500" s="7">
        <v>30</v>
      </c>
      <c r="I500" s="6">
        <v>5</v>
      </c>
      <c r="J500" s="6">
        <v>2</v>
      </c>
      <c r="K500" s="6">
        <v>1</v>
      </c>
      <c r="L500" s="6">
        <v>15</v>
      </c>
      <c r="M500" s="6">
        <v>198814</v>
      </c>
      <c r="N500" s="6">
        <v>3976280</v>
      </c>
      <c r="O500" s="6">
        <v>54</v>
      </c>
      <c r="P500" s="7">
        <v>3914.46684</v>
      </c>
      <c r="Q500" s="7">
        <v>16459.877100000002</v>
      </c>
      <c r="R500" s="9">
        <f>D500*VLOOKUP(1001,적!$A$4:$D$13,3,FALSE)</f>
        <v>260960.58811392001</v>
      </c>
      <c r="S500" s="9">
        <f>D500*VLOOKUP(F500,보스!$A$4:$E$5,4,FALSE)</f>
        <v>9394581.1721011195</v>
      </c>
    </row>
    <row r="501" spans="1:19" ht="21.95" customHeight="1">
      <c r="A501" s="6">
        <v>5498</v>
      </c>
      <c r="B501" s="2" t="s">
        <v>649</v>
      </c>
      <c r="C501" s="6">
        <v>498</v>
      </c>
      <c r="D501" s="7">
        <v>131195.98322240001</v>
      </c>
      <c r="E501" s="2" t="s">
        <v>152</v>
      </c>
      <c r="F501" s="6">
        <v>2002</v>
      </c>
      <c r="G501" s="6">
        <v>5</v>
      </c>
      <c r="H501" s="7">
        <v>30</v>
      </c>
      <c r="I501" s="6">
        <v>5</v>
      </c>
      <c r="J501" s="6">
        <v>2</v>
      </c>
      <c r="K501" s="6">
        <v>1</v>
      </c>
      <c r="L501" s="6">
        <v>15</v>
      </c>
      <c r="M501" s="6">
        <v>199220</v>
      </c>
      <c r="N501" s="6">
        <v>3984400</v>
      </c>
      <c r="O501" s="6">
        <v>54</v>
      </c>
      <c r="P501" s="7">
        <v>3928.4799200000002</v>
      </c>
      <c r="Q501" s="7">
        <v>16518.7978</v>
      </c>
      <c r="R501" s="9">
        <f>D501*VLOOKUP(1001,적!$A$4:$D$13,3,FALSE)</f>
        <v>262391.96644480003</v>
      </c>
      <c r="S501" s="9">
        <f>D501*VLOOKUP(F501,보스!$A$4:$E$5,4,FALSE)</f>
        <v>9446110.7920128014</v>
      </c>
    </row>
    <row r="502" spans="1:19" ht="21.95" customHeight="1">
      <c r="A502" s="6">
        <v>5499</v>
      </c>
      <c r="B502" s="2" t="s">
        <v>650</v>
      </c>
      <c r="C502" s="6">
        <v>499</v>
      </c>
      <c r="D502" s="7">
        <v>131914.69566832</v>
      </c>
      <c r="E502" s="2" t="s">
        <v>152</v>
      </c>
      <c r="F502" s="6">
        <v>2001</v>
      </c>
      <c r="G502" s="6">
        <v>5</v>
      </c>
      <c r="H502" s="7">
        <v>30</v>
      </c>
      <c r="I502" s="6">
        <v>5</v>
      </c>
      <c r="J502" s="6">
        <v>2</v>
      </c>
      <c r="K502" s="6">
        <v>1</v>
      </c>
      <c r="L502" s="6">
        <v>15</v>
      </c>
      <c r="M502" s="6">
        <v>199627</v>
      </c>
      <c r="N502" s="6">
        <v>3992540</v>
      </c>
      <c r="O502" s="6">
        <v>54</v>
      </c>
      <c r="P502" s="7">
        <v>3942.51764</v>
      </c>
      <c r="Q502" s="7">
        <v>16577.822100000001</v>
      </c>
      <c r="R502" s="9">
        <f>D502*VLOOKUP(1001,적!$A$4:$D$13,3,FALSE)</f>
        <v>263829.39133663999</v>
      </c>
      <c r="S502" s="9">
        <f>D502*VLOOKUP(F502,보스!$A$4:$E$5,4,FALSE)</f>
        <v>9497858.0881190393</v>
      </c>
    </row>
    <row r="503" spans="1:19" ht="21.95" customHeight="1">
      <c r="A503" s="6">
        <v>5500</v>
      </c>
      <c r="B503" s="2" t="s">
        <v>651</v>
      </c>
      <c r="C503" s="6">
        <v>500</v>
      </c>
      <c r="D503" s="7">
        <v>132636.44078999999</v>
      </c>
      <c r="E503" s="2" t="s">
        <v>152</v>
      </c>
      <c r="F503" s="6">
        <v>2002</v>
      </c>
      <c r="G503" s="6">
        <v>5</v>
      </c>
      <c r="H503" s="7">
        <v>30</v>
      </c>
      <c r="I503" s="6">
        <v>5</v>
      </c>
      <c r="J503" s="6">
        <v>2</v>
      </c>
      <c r="K503" s="6">
        <v>1</v>
      </c>
      <c r="L503" s="6">
        <v>15</v>
      </c>
      <c r="M503" s="6">
        <v>200033</v>
      </c>
      <c r="N503" s="6">
        <v>4000660</v>
      </c>
      <c r="O503" s="6">
        <v>55</v>
      </c>
      <c r="P503" s="7">
        <v>3956.58</v>
      </c>
      <c r="Q503" s="7">
        <v>16636.95</v>
      </c>
      <c r="R503" s="9">
        <f>D503*VLOOKUP(1001,적!$A$4:$D$13,3,FALSE)</f>
        <v>265272.88157999999</v>
      </c>
      <c r="S503" s="9">
        <f>D503*VLOOKUP(F503,보스!$A$4:$E$5,4,FALSE)</f>
        <v>9549823.7368799988</v>
      </c>
    </row>
    <row r="504" spans="1:19" ht="21.95" customHeight="1">
      <c r="A504" s="6">
        <v>5501</v>
      </c>
      <c r="B504" s="2" t="s">
        <v>652</v>
      </c>
      <c r="C504" s="6">
        <v>501</v>
      </c>
      <c r="D504" s="7">
        <v>133361.228</v>
      </c>
      <c r="E504" s="2" t="s">
        <v>152</v>
      </c>
      <c r="F504" s="6">
        <v>2001</v>
      </c>
      <c r="G504" s="6">
        <v>5</v>
      </c>
      <c r="H504" s="7">
        <v>30</v>
      </c>
      <c r="I504" s="6">
        <v>5</v>
      </c>
      <c r="J504" s="6">
        <v>2</v>
      </c>
      <c r="K504" s="6">
        <v>1</v>
      </c>
      <c r="L504" s="6">
        <v>15</v>
      </c>
      <c r="M504" s="6">
        <v>200439</v>
      </c>
      <c r="N504" s="6">
        <v>4008780</v>
      </c>
      <c r="O504" s="6">
        <v>55</v>
      </c>
      <c r="P504" s="7">
        <v>3970.6669999999999</v>
      </c>
      <c r="Q504" s="7">
        <v>16696.181499999999</v>
      </c>
      <c r="R504" s="9">
        <f>D504*VLOOKUP(1001,적!$A$4:$D$13,3,FALSE)</f>
        <v>266722.45600000001</v>
      </c>
      <c r="S504" s="9">
        <f>D504*VLOOKUP(F504,보스!$A$4:$E$5,4,FALSE)</f>
        <v>9602008.4160000011</v>
      </c>
    </row>
    <row r="505" spans="1:19" ht="21.95" customHeight="1">
      <c r="A505" s="6">
        <v>5502</v>
      </c>
      <c r="B505" s="2" t="s">
        <v>653</v>
      </c>
      <c r="C505" s="6">
        <v>502</v>
      </c>
      <c r="D505" s="7">
        <v>134089.06672815999</v>
      </c>
      <c r="E505" s="2" t="s">
        <v>152</v>
      </c>
      <c r="F505" s="6">
        <v>2002</v>
      </c>
      <c r="G505" s="6">
        <v>5</v>
      </c>
      <c r="H505" s="7">
        <v>30</v>
      </c>
      <c r="I505" s="6">
        <v>5</v>
      </c>
      <c r="J505" s="6">
        <v>2</v>
      </c>
      <c r="K505" s="6">
        <v>1</v>
      </c>
      <c r="L505" s="6">
        <v>15</v>
      </c>
      <c r="M505" s="6">
        <v>200846</v>
      </c>
      <c r="N505" s="6">
        <v>4016920</v>
      </c>
      <c r="O505" s="6">
        <v>55</v>
      </c>
      <c r="P505" s="7">
        <v>3984.77864</v>
      </c>
      <c r="Q505" s="7">
        <v>16755.516599999999</v>
      </c>
      <c r="R505" s="9">
        <f>D505*VLOOKUP(1001,적!$A$4:$D$13,3,FALSE)</f>
        <v>268178.13345631998</v>
      </c>
      <c r="S505" s="9">
        <f>D505*VLOOKUP(F505,보스!$A$4:$E$5,4,FALSE)</f>
        <v>9654412.8044275194</v>
      </c>
    </row>
    <row r="506" spans="1:19" ht="21.95" customHeight="1">
      <c r="A506" s="6">
        <v>5503</v>
      </c>
      <c r="B506" s="2" t="s">
        <v>654</v>
      </c>
      <c r="C506" s="6">
        <v>503</v>
      </c>
      <c r="D506" s="7">
        <v>134819.96642159999</v>
      </c>
      <c r="E506" s="2" t="s">
        <v>152</v>
      </c>
      <c r="F506" s="6">
        <v>2001</v>
      </c>
      <c r="G506" s="6">
        <v>5</v>
      </c>
      <c r="H506" s="7">
        <v>30</v>
      </c>
      <c r="I506" s="6">
        <v>5</v>
      </c>
      <c r="J506" s="6">
        <v>2</v>
      </c>
      <c r="K506" s="6">
        <v>1</v>
      </c>
      <c r="L506" s="6">
        <v>15</v>
      </c>
      <c r="M506" s="6">
        <v>201252</v>
      </c>
      <c r="N506" s="6">
        <v>4025040</v>
      </c>
      <c r="O506" s="6">
        <v>55</v>
      </c>
      <c r="P506" s="7">
        <v>3998.9149200000002</v>
      </c>
      <c r="Q506" s="7">
        <v>16814.955300000001</v>
      </c>
      <c r="R506" s="9">
        <f>D506*VLOOKUP(1001,적!$A$4:$D$13,3,FALSE)</f>
        <v>269639.93284319999</v>
      </c>
      <c r="S506" s="9">
        <f>D506*VLOOKUP(F506,보스!$A$4:$E$5,4,FALSE)</f>
        <v>9707037.5823551994</v>
      </c>
    </row>
    <row r="507" spans="1:19" ht="21.95" customHeight="1">
      <c r="A507" s="6">
        <v>5504</v>
      </c>
      <c r="B507" s="2" t="s">
        <v>655</v>
      </c>
      <c r="C507" s="6">
        <v>504</v>
      </c>
      <c r="D507" s="7">
        <v>135553.93654472</v>
      </c>
      <c r="E507" s="2" t="s">
        <v>152</v>
      </c>
      <c r="F507" s="6">
        <v>2002</v>
      </c>
      <c r="G507" s="6">
        <v>5</v>
      </c>
      <c r="H507" s="7">
        <v>30</v>
      </c>
      <c r="I507" s="6">
        <v>5</v>
      </c>
      <c r="J507" s="6">
        <v>2</v>
      </c>
      <c r="K507" s="6">
        <v>1</v>
      </c>
      <c r="L507" s="6">
        <v>15</v>
      </c>
      <c r="M507" s="6">
        <v>201659</v>
      </c>
      <c r="N507" s="6">
        <v>4033180</v>
      </c>
      <c r="O507" s="6">
        <v>55</v>
      </c>
      <c r="P507" s="7">
        <v>4013.07584</v>
      </c>
      <c r="Q507" s="7">
        <v>16874.497599999999</v>
      </c>
      <c r="R507" s="9">
        <f>D507*VLOOKUP(1001,적!$A$4:$D$13,3,FALSE)</f>
        <v>271107.87308943999</v>
      </c>
      <c r="S507" s="9">
        <f>D507*VLOOKUP(F507,보스!$A$4:$E$5,4,FALSE)</f>
        <v>9759883.4312198404</v>
      </c>
    </row>
    <row r="508" spans="1:19" ht="21.95" customHeight="1">
      <c r="A508" s="6">
        <v>5505</v>
      </c>
      <c r="B508" s="2" t="s">
        <v>656</v>
      </c>
      <c r="C508" s="6">
        <v>505</v>
      </c>
      <c r="D508" s="7">
        <v>136290.98657919999</v>
      </c>
      <c r="E508" s="2" t="s">
        <v>152</v>
      </c>
      <c r="F508" s="6">
        <v>2001</v>
      </c>
      <c r="G508" s="6">
        <v>5</v>
      </c>
      <c r="H508" s="7">
        <v>30</v>
      </c>
      <c r="I508" s="6">
        <v>5</v>
      </c>
      <c r="J508" s="6">
        <v>2</v>
      </c>
      <c r="K508" s="6">
        <v>1</v>
      </c>
      <c r="L508" s="6">
        <v>15</v>
      </c>
      <c r="M508" s="6">
        <v>202065</v>
      </c>
      <c r="N508" s="6">
        <v>4041300</v>
      </c>
      <c r="O508" s="6">
        <v>55</v>
      </c>
      <c r="P508" s="7">
        <v>4027.2613999999999</v>
      </c>
      <c r="Q508" s="7">
        <v>16934.143499999998</v>
      </c>
      <c r="R508" s="9">
        <f>D508*VLOOKUP(1001,적!$A$4:$D$13,3,FALSE)</f>
        <v>272581.97315839998</v>
      </c>
      <c r="S508" s="9">
        <f>D508*VLOOKUP(F508,보스!$A$4:$E$5,4,FALSE)</f>
        <v>9812951.0337023996</v>
      </c>
    </row>
    <row r="509" spans="1:19" ht="21.95" customHeight="1">
      <c r="A509" s="6">
        <v>5506</v>
      </c>
      <c r="B509" s="2" t="s">
        <v>657</v>
      </c>
      <c r="C509" s="6">
        <v>506</v>
      </c>
      <c r="D509" s="7">
        <v>137031.126024</v>
      </c>
      <c r="E509" s="2" t="s">
        <v>152</v>
      </c>
      <c r="F509" s="6">
        <v>2002</v>
      </c>
      <c r="G509" s="6">
        <v>5</v>
      </c>
      <c r="H509" s="7">
        <v>30</v>
      </c>
      <c r="I509" s="6">
        <v>5</v>
      </c>
      <c r="J509" s="6">
        <v>2</v>
      </c>
      <c r="K509" s="6">
        <v>1</v>
      </c>
      <c r="L509" s="6">
        <v>15</v>
      </c>
      <c r="M509" s="6">
        <v>202471</v>
      </c>
      <c r="N509" s="6">
        <v>4049420</v>
      </c>
      <c r="O509" s="6">
        <v>55</v>
      </c>
      <c r="P509" s="7">
        <v>4041.4715999999999</v>
      </c>
      <c r="Q509" s="7">
        <v>16993.893</v>
      </c>
      <c r="R509" s="9">
        <f>D509*VLOOKUP(1001,적!$A$4:$D$13,3,FALSE)</f>
        <v>274062.25204799999</v>
      </c>
      <c r="S509" s="9">
        <f>D509*VLOOKUP(F509,보스!$A$4:$E$5,4,FALSE)</f>
        <v>9866241.0737279989</v>
      </c>
    </row>
    <row r="510" spans="1:19" ht="21.95" customHeight="1">
      <c r="A510" s="6">
        <v>5507</v>
      </c>
      <c r="B510" s="2" t="s">
        <v>658</v>
      </c>
      <c r="C510" s="6">
        <v>507</v>
      </c>
      <c r="D510" s="7">
        <v>137774.36439536</v>
      </c>
      <c r="E510" s="2" t="s">
        <v>152</v>
      </c>
      <c r="F510" s="6">
        <v>2001</v>
      </c>
      <c r="G510" s="6">
        <v>5</v>
      </c>
      <c r="H510" s="7">
        <v>30</v>
      </c>
      <c r="I510" s="6">
        <v>5</v>
      </c>
      <c r="J510" s="6">
        <v>2</v>
      </c>
      <c r="K510" s="6">
        <v>1</v>
      </c>
      <c r="L510" s="6">
        <v>15</v>
      </c>
      <c r="M510" s="6">
        <v>202878</v>
      </c>
      <c r="N510" s="6">
        <v>4057560</v>
      </c>
      <c r="O510" s="6">
        <v>55</v>
      </c>
      <c r="P510" s="7">
        <v>4055.7064399999999</v>
      </c>
      <c r="Q510" s="7">
        <v>17053.7461</v>
      </c>
      <c r="R510" s="9">
        <f>D510*VLOOKUP(1001,적!$A$4:$D$13,3,FALSE)</f>
        <v>275548.72879071999</v>
      </c>
      <c r="S510" s="9">
        <f>D510*VLOOKUP(F510,보스!$A$4:$E$5,4,FALSE)</f>
        <v>9919754.2364659198</v>
      </c>
    </row>
    <row r="511" spans="1:19" ht="21.95" customHeight="1">
      <c r="A511" s="6">
        <v>5508</v>
      </c>
      <c r="B511" s="2" t="s">
        <v>659</v>
      </c>
      <c r="C511" s="6">
        <v>508</v>
      </c>
      <c r="D511" s="7">
        <v>138520.71122679999</v>
      </c>
      <c r="E511" s="2" t="s">
        <v>152</v>
      </c>
      <c r="F511" s="6">
        <v>2002</v>
      </c>
      <c r="G511" s="6">
        <v>5</v>
      </c>
      <c r="H511" s="7">
        <v>30</v>
      </c>
      <c r="I511" s="6">
        <v>5</v>
      </c>
      <c r="J511" s="6">
        <v>2</v>
      </c>
      <c r="K511" s="6">
        <v>1</v>
      </c>
      <c r="L511" s="6">
        <v>15</v>
      </c>
      <c r="M511" s="6">
        <v>203284</v>
      </c>
      <c r="N511" s="6">
        <v>4065680</v>
      </c>
      <c r="O511" s="6">
        <v>55</v>
      </c>
      <c r="P511" s="7">
        <v>4069.9659200000001</v>
      </c>
      <c r="Q511" s="7">
        <v>17113.702799999999</v>
      </c>
      <c r="R511" s="9">
        <f>D511*VLOOKUP(1001,적!$A$4:$D$13,3,FALSE)</f>
        <v>277041.42245359998</v>
      </c>
      <c r="S511" s="9">
        <f>D511*VLOOKUP(F511,보스!$A$4:$E$5,4,FALSE)</f>
        <v>9973491.2083295994</v>
      </c>
    </row>
    <row r="512" spans="1:19" ht="21.95" customHeight="1">
      <c r="A512" s="6">
        <v>5509</v>
      </c>
      <c r="B512" s="2" t="s">
        <v>660</v>
      </c>
      <c r="C512" s="6">
        <v>509</v>
      </c>
      <c r="D512" s="7">
        <v>139270.17606912</v>
      </c>
      <c r="E512" s="2" t="s">
        <v>152</v>
      </c>
      <c r="F512" s="6">
        <v>2001</v>
      </c>
      <c r="G512" s="6">
        <v>5</v>
      </c>
      <c r="H512" s="7">
        <v>30</v>
      </c>
      <c r="I512" s="6">
        <v>5</v>
      </c>
      <c r="J512" s="6">
        <v>2</v>
      </c>
      <c r="K512" s="6">
        <v>1</v>
      </c>
      <c r="L512" s="6">
        <v>15</v>
      </c>
      <c r="M512" s="6">
        <v>203690</v>
      </c>
      <c r="N512" s="6">
        <v>4073800</v>
      </c>
      <c r="O512" s="6">
        <v>55</v>
      </c>
      <c r="P512" s="7">
        <v>4084.2500399999999</v>
      </c>
      <c r="Q512" s="7">
        <v>17173.7631</v>
      </c>
      <c r="R512" s="9">
        <f>D512*VLOOKUP(1001,적!$A$4:$D$13,3,FALSE)</f>
        <v>278540.35213824001</v>
      </c>
      <c r="S512" s="9">
        <f>D512*VLOOKUP(F512,보스!$A$4:$E$5,4,FALSE)</f>
        <v>10027452.67697664</v>
      </c>
    </row>
    <row r="513" spans="1:19" ht="21.95" customHeight="1">
      <c r="A513" s="6">
        <v>5510</v>
      </c>
      <c r="B513" s="2" t="s">
        <v>661</v>
      </c>
      <c r="C513" s="6">
        <v>510</v>
      </c>
      <c r="D513" s="7">
        <v>140022.76849039999</v>
      </c>
      <c r="E513" s="2" t="s">
        <v>152</v>
      </c>
      <c r="F513" s="6">
        <v>2002</v>
      </c>
      <c r="G513" s="6">
        <v>5</v>
      </c>
      <c r="H513" s="7">
        <v>30</v>
      </c>
      <c r="I513" s="6">
        <v>5</v>
      </c>
      <c r="J513" s="6">
        <v>2</v>
      </c>
      <c r="K513" s="6">
        <v>1</v>
      </c>
      <c r="L513" s="6">
        <v>15</v>
      </c>
      <c r="M513" s="6">
        <v>204097</v>
      </c>
      <c r="N513" s="6">
        <v>4081940</v>
      </c>
      <c r="O513" s="6">
        <v>56</v>
      </c>
      <c r="P513" s="7">
        <v>4098.5587999999998</v>
      </c>
      <c r="Q513" s="7">
        <v>17233.927</v>
      </c>
      <c r="R513" s="9">
        <f>D513*VLOOKUP(1001,적!$A$4:$D$13,3,FALSE)</f>
        <v>280045.53698079998</v>
      </c>
      <c r="S513" s="9">
        <f>D513*VLOOKUP(F513,보스!$A$4:$E$5,4,FALSE)</f>
        <v>10081639.331308799</v>
      </c>
    </row>
    <row r="514" spans="1:19" ht="21.95" customHeight="1">
      <c r="A514" s="6">
        <v>5511</v>
      </c>
      <c r="B514" s="2" t="s">
        <v>662</v>
      </c>
      <c r="C514" s="6">
        <v>511</v>
      </c>
      <c r="D514" s="7">
        <v>140778.49807599999</v>
      </c>
      <c r="E514" s="2" t="s">
        <v>152</v>
      </c>
      <c r="F514" s="6">
        <v>2001</v>
      </c>
      <c r="G514" s="6">
        <v>5</v>
      </c>
      <c r="H514" s="7">
        <v>30</v>
      </c>
      <c r="I514" s="6">
        <v>5</v>
      </c>
      <c r="J514" s="6">
        <v>2</v>
      </c>
      <c r="K514" s="6">
        <v>1</v>
      </c>
      <c r="L514" s="6">
        <v>15</v>
      </c>
      <c r="M514" s="6">
        <v>204503</v>
      </c>
      <c r="N514" s="6">
        <v>4090060</v>
      </c>
      <c r="O514" s="6">
        <v>56</v>
      </c>
      <c r="P514" s="7">
        <v>4112.8922000000002</v>
      </c>
      <c r="Q514" s="7">
        <v>17294.194500000001</v>
      </c>
      <c r="R514" s="9">
        <f>D514*VLOOKUP(1001,적!$A$4:$D$13,3,FALSE)</f>
        <v>281556.99615199998</v>
      </c>
      <c r="S514" s="9">
        <f>D514*VLOOKUP(F514,보스!$A$4:$E$5,4,FALSE)</f>
        <v>10136051.861471999</v>
      </c>
    </row>
    <row r="515" spans="1:19" ht="21.95" customHeight="1">
      <c r="A515" s="6">
        <v>5512</v>
      </c>
      <c r="B515" s="2" t="s">
        <v>663</v>
      </c>
      <c r="C515" s="6">
        <v>512</v>
      </c>
      <c r="D515" s="7">
        <v>141537.37442856</v>
      </c>
      <c r="E515" s="2" t="s">
        <v>152</v>
      </c>
      <c r="F515" s="6">
        <v>2002</v>
      </c>
      <c r="G515" s="6">
        <v>5</v>
      </c>
      <c r="H515" s="7">
        <v>30</v>
      </c>
      <c r="I515" s="6">
        <v>5</v>
      </c>
      <c r="J515" s="6">
        <v>2</v>
      </c>
      <c r="K515" s="6">
        <v>1</v>
      </c>
      <c r="L515" s="6">
        <v>15</v>
      </c>
      <c r="M515" s="6">
        <v>204910</v>
      </c>
      <c r="N515" s="6">
        <v>4098200</v>
      </c>
      <c r="O515" s="6">
        <v>56</v>
      </c>
      <c r="P515" s="7">
        <v>4127.2502400000003</v>
      </c>
      <c r="Q515" s="7">
        <v>17354.565600000002</v>
      </c>
      <c r="R515" s="9">
        <f>D515*VLOOKUP(1001,적!$A$4:$D$13,3,FALSE)</f>
        <v>283074.74885711999</v>
      </c>
      <c r="S515" s="9">
        <f>D515*VLOOKUP(F515,보스!$A$4:$E$5,4,FALSE)</f>
        <v>10190690.95885632</v>
      </c>
    </row>
    <row r="516" spans="1:19" ht="21.95" customHeight="1">
      <c r="A516" s="6">
        <v>5513</v>
      </c>
      <c r="B516" s="2" t="s">
        <v>664</v>
      </c>
      <c r="C516" s="6">
        <v>513</v>
      </c>
      <c r="D516" s="7">
        <v>142299.40716800001</v>
      </c>
      <c r="E516" s="2" t="s">
        <v>152</v>
      </c>
      <c r="F516" s="6">
        <v>2001</v>
      </c>
      <c r="G516" s="6">
        <v>5</v>
      </c>
      <c r="H516" s="7">
        <v>30</v>
      </c>
      <c r="I516" s="6">
        <v>5</v>
      </c>
      <c r="J516" s="6">
        <v>2</v>
      </c>
      <c r="K516" s="6">
        <v>1</v>
      </c>
      <c r="L516" s="6">
        <v>15</v>
      </c>
      <c r="M516" s="6">
        <v>205316</v>
      </c>
      <c r="N516" s="6">
        <v>4106320</v>
      </c>
      <c r="O516" s="6">
        <v>56</v>
      </c>
      <c r="P516" s="7">
        <v>4141.63292</v>
      </c>
      <c r="Q516" s="7">
        <v>17415.040300000001</v>
      </c>
      <c r="R516" s="9">
        <f>D516*VLOOKUP(1001,적!$A$4:$D$13,3,FALSE)</f>
        <v>284598.81433600001</v>
      </c>
      <c r="S516" s="9">
        <f>D516*VLOOKUP(F516,보스!$A$4:$E$5,4,FALSE)</f>
        <v>10245557.316096</v>
      </c>
    </row>
    <row r="517" spans="1:19" ht="21.95" customHeight="1">
      <c r="A517" s="6">
        <v>5514</v>
      </c>
      <c r="B517" s="2" t="s">
        <v>665</v>
      </c>
      <c r="C517" s="6">
        <v>514</v>
      </c>
      <c r="D517" s="7">
        <v>143064.60593152</v>
      </c>
      <c r="E517" s="2" t="s">
        <v>152</v>
      </c>
      <c r="F517" s="6">
        <v>2002</v>
      </c>
      <c r="G517" s="6">
        <v>5</v>
      </c>
      <c r="H517" s="7">
        <v>30</v>
      </c>
      <c r="I517" s="6">
        <v>5</v>
      </c>
      <c r="J517" s="6">
        <v>2</v>
      </c>
      <c r="K517" s="6">
        <v>1</v>
      </c>
      <c r="L517" s="6">
        <v>15</v>
      </c>
      <c r="M517" s="6">
        <v>205722</v>
      </c>
      <c r="N517" s="6">
        <v>4114440</v>
      </c>
      <c r="O517" s="6">
        <v>56</v>
      </c>
      <c r="P517" s="7">
        <v>4156.0402400000003</v>
      </c>
      <c r="Q517" s="7">
        <v>17475.618600000002</v>
      </c>
      <c r="R517" s="9">
        <f>D517*VLOOKUP(1001,적!$A$4:$D$13,3,FALSE)</f>
        <v>286129.21186303999</v>
      </c>
      <c r="S517" s="9">
        <f>D517*VLOOKUP(F517,보스!$A$4:$E$5,4,FALSE)</f>
        <v>10300651.62706944</v>
      </c>
    </row>
    <row r="518" spans="1:19" ht="21.95" customHeight="1">
      <c r="A518" s="6">
        <v>5515</v>
      </c>
      <c r="B518" s="2" t="s">
        <v>666</v>
      </c>
      <c r="C518" s="6">
        <v>515</v>
      </c>
      <c r="D518" s="7">
        <v>143832.9803736</v>
      </c>
      <c r="E518" s="2" t="s">
        <v>152</v>
      </c>
      <c r="F518" s="6">
        <v>2001</v>
      </c>
      <c r="G518" s="6">
        <v>5</v>
      </c>
      <c r="H518" s="7">
        <v>30</v>
      </c>
      <c r="I518" s="6">
        <v>5</v>
      </c>
      <c r="J518" s="6">
        <v>2</v>
      </c>
      <c r="K518" s="6">
        <v>1</v>
      </c>
      <c r="L518" s="6">
        <v>15</v>
      </c>
      <c r="M518" s="6">
        <v>206129</v>
      </c>
      <c r="N518" s="6">
        <v>4122580</v>
      </c>
      <c r="O518" s="6">
        <v>56</v>
      </c>
      <c r="P518" s="7">
        <v>4170.4722000000002</v>
      </c>
      <c r="Q518" s="7">
        <v>17536.300500000001</v>
      </c>
      <c r="R518" s="9">
        <f>D518*VLOOKUP(1001,적!$A$4:$D$13,3,FALSE)</f>
        <v>287665.96074720001</v>
      </c>
      <c r="S518" s="9">
        <f>D518*VLOOKUP(F518,보스!$A$4:$E$5,4,FALSE)</f>
        <v>10355974.5868992</v>
      </c>
    </row>
    <row r="519" spans="1:19" ht="21.95" customHeight="1">
      <c r="A519" s="6">
        <v>5516</v>
      </c>
      <c r="B519" s="2" t="s">
        <v>667</v>
      </c>
      <c r="C519" s="6">
        <v>516</v>
      </c>
      <c r="D519" s="7">
        <v>144604.54016599999</v>
      </c>
      <c r="E519" s="2" t="s">
        <v>152</v>
      </c>
      <c r="F519" s="6">
        <v>2002</v>
      </c>
      <c r="G519" s="6">
        <v>5</v>
      </c>
      <c r="H519" s="7">
        <v>30</v>
      </c>
      <c r="I519" s="6">
        <v>5</v>
      </c>
      <c r="J519" s="6">
        <v>2</v>
      </c>
      <c r="K519" s="6">
        <v>1</v>
      </c>
      <c r="L519" s="6">
        <v>15</v>
      </c>
      <c r="M519" s="6">
        <v>206535</v>
      </c>
      <c r="N519" s="6">
        <v>4130700</v>
      </c>
      <c r="O519" s="6">
        <v>56</v>
      </c>
      <c r="P519" s="7">
        <v>4184.9287999999997</v>
      </c>
      <c r="Q519" s="7">
        <v>17597.085999999999</v>
      </c>
      <c r="R519" s="9">
        <f>D519*VLOOKUP(1001,적!$A$4:$D$13,3,FALSE)</f>
        <v>289209.08033199998</v>
      </c>
      <c r="S519" s="9">
        <f>D519*VLOOKUP(F519,보스!$A$4:$E$5,4,FALSE)</f>
        <v>10411526.891951999</v>
      </c>
    </row>
    <row r="520" spans="1:19" ht="21.95" customHeight="1">
      <c r="A520" s="6">
        <v>5517</v>
      </c>
      <c r="B520" s="2" t="s">
        <v>668</v>
      </c>
      <c r="C520" s="6">
        <v>517</v>
      </c>
      <c r="D520" s="7">
        <v>145379.29499776001</v>
      </c>
      <c r="E520" s="2" t="s">
        <v>152</v>
      </c>
      <c r="F520" s="6">
        <v>2001</v>
      </c>
      <c r="G520" s="6">
        <v>5</v>
      </c>
      <c r="H520" s="7">
        <v>30</v>
      </c>
      <c r="I520" s="6">
        <v>5</v>
      </c>
      <c r="J520" s="6">
        <v>2</v>
      </c>
      <c r="K520" s="6">
        <v>1</v>
      </c>
      <c r="L520" s="6">
        <v>15</v>
      </c>
      <c r="M520" s="6">
        <v>206941</v>
      </c>
      <c r="N520" s="6">
        <v>4138820</v>
      </c>
      <c r="O520" s="6">
        <v>56</v>
      </c>
      <c r="P520" s="7">
        <v>4199.4100399999998</v>
      </c>
      <c r="Q520" s="7">
        <v>17657.9751</v>
      </c>
      <c r="R520" s="9">
        <f>D520*VLOOKUP(1001,적!$A$4:$D$13,3,FALSE)</f>
        <v>290758.58999552001</v>
      </c>
      <c r="S520" s="9">
        <f>D520*VLOOKUP(F520,보스!$A$4:$E$5,4,FALSE)</f>
        <v>10467309.239838721</v>
      </c>
    </row>
    <row r="521" spans="1:19" ht="21.95" customHeight="1">
      <c r="A521" s="6">
        <v>5518</v>
      </c>
      <c r="B521" s="2" t="s">
        <v>669</v>
      </c>
      <c r="C521" s="6">
        <v>518</v>
      </c>
      <c r="D521" s="7">
        <v>146157.2545752</v>
      </c>
      <c r="E521" s="2" t="s">
        <v>152</v>
      </c>
      <c r="F521" s="6">
        <v>2002</v>
      </c>
      <c r="G521" s="6">
        <v>5</v>
      </c>
      <c r="H521" s="7">
        <v>30</v>
      </c>
      <c r="I521" s="6">
        <v>5</v>
      </c>
      <c r="J521" s="6">
        <v>2</v>
      </c>
      <c r="K521" s="6">
        <v>1</v>
      </c>
      <c r="L521" s="6">
        <v>15</v>
      </c>
      <c r="M521" s="6">
        <v>207348</v>
      </c>
      <c r="N521" s="6">
        <v>4146960</v>
      </c>
      <c r="O521" s="6">
        <v>56</v>
      </c>
      <c r="P521" s="7">
        <v>4213.9159200000004</v>
      </c>
      <c r="Q521" s="7">
        <v>17718.967799999999</v>
      </c>
      <c r="R521" s="9">
        <f>D521*VLOOKUP(1001,적!$A$4:$D$13,3,FALSE)</f>
        <v>292314.5091504</v>
      </c>
      <c r="S521" s="9">
        <f>D521*VLOOKUP(F521,보스!$A$4:$E$5,4,FALSE)</f>
        <v>10523322.329414399</v>
      </c>
    </row>
    <row r="522" spans="1:19" ht="21.95" customHeight="1">
      <c r="A522" s="6">
        <v>5519</v>
      </c>
      <c r="B522" s="2" t="s">
        <v>670</v>
      </c>
      <c r="C522" s="6">
        <v>519</v>
      </c>
      <c r="D522" s="7">
        <v>146938.42862192</v>
      </c>
      <c r="E522" s="2" t="s">
        <v>152</v>
      </c>
      <c r="F522" s="6">
        <v>2001</v>
      </c>
      <c r="G522" s="6">
        <v>5</v>
      </c>
      <c r="H522" s="7">
        <v>30</v>
      </c>
      <c r="I522" s="6">
        <v>5</v>
      </c>
      <c r="J522" s="6">
        <v>2</v>
      </c>
      <c r="K522" s="6">
        <v>1</v>
      </c>
      <c r="L522" s="6">
        <v>15</v>
      </c>
      <c r="M522" s="6">
        <v>207754</v>
      </c>
      <c r="N522" s="6">
        <v>4155080</v>
      </c>
      <c r="O522" s="6">
        <v>56</v>
      </c>
      <c r="P522" s="7">
        <v>4228.4464399999997</v>
      </c>
      <c r="Q522" s="7">
        <v>17780.0641</v>
      </c>
      <c r="R522" s="9">
        <f>D522*VLOOKUP(1001,적!$A$4:$D$13,3,FALSE)</f>
        <v>293876.85724384</v>
      </c>
      <c r="S522" s="9">
        <f>D522*VLOOKUP(F522,보스!$A$4:$E$5,4,FALSE)</f>
        <v>10579566.86077824</v>
      </c>
    </row>
    <row r="523" spans="1:19" ht="21.95" customHeight="1">
      <c r="A523" s="6">
        <v>5520</v>
      </c>
      <c r="B523" s="2" t="s">
        <v>671</v>
      </c>
      <c r="C523" s="6">
        <v>520</v>
      </c>
      <c r="D523" s="7">
        <v>147722.8268788</v>
      </c>
      <c r="E523" s="2" t="s">
        <v>152</v>
      </c>
      <c r="F523" s="6">
        <v>2002</v>
      </c>
      <c r="G523" s="6">
        <v>5</v>
      </c>
      <c r="H523" s="7">
        <v>30</v>
      </c>
      <c r="I523" s="6">
        <v>5</v>
      </c>
      <c r="J523" s="6">
        <v>2</v>
      </c>
      <c r="K523" s="6">
        <v>1</v>
      </c>
      <c r="L523" s="6">
        <v>15</v>
      </c>
      <c r="M523" s="6">
        <v>208160</v>
      </c>
      <c r="N523" s="6">
        <v>4163200</v>
      </c>
      <c r="O523" s="6">
        <v>57</v>
      </c>
      <c r="P523" s="7">
        <v>4243.0015999999996</v>
      </c>
      <c r="Q523" s="7">
        <v>17841.263999999999</v>
      </c>
      <c r="R523" s="9">
        <f>D523*VLOOKUP(1001,적!$A$4:$D$13,3,FALSE)</f>
        <v>295445.6537576</v>
      </c>
      <c r="S523" s="9">
        <f>D523*VLOOKUP(F523,보스!$A$4:$E$5,4,FALSE)</f>
        <v>10636043.5352736</v>
      </c>
    </row>
    <row r="524" spans="1:19" ht="21.95" customHeight="1">
      <c r="A524" s="6">
        <v>5521</v>
      </c>
      <c r="B524" s="2" t="s">
        <v>672</v>
      </c>
      <c r="C524" s="6">
        <v>521</v>
      </c>
      <c r="D524" s="7">
        <v>148510.45910400001</v>
      </c>
      <c r="E524" s="2" t="s">
        <v>152</v>
      </c>
      <c r="F524" s="6">
        <v>2001</v>
      </c>
      <c r="G524" s="6">
        <v>5</v>
      </c>
      <c r="H524" s="7">
        <v>30</v>
      </c>
      <c r="I524" s="6">
        <v>5</v>
      </c>
      <c r="J524" s="6">
        <v>2</v>
      </c>
      <c r="K524" s="6">
        <v>1</v>
      </c>
      <c r="L524" s="6">
        <v>15</v>
      </c>
      <c r="M524" s="6">
        <v>208567</v>
      </c>
      <c r="N524" s="6">
        <v>4171340</v>
      </c>
      <c r="O524" s="6">
        <v>57</v>
      </c>
      <c r="P524" s="7">
        <v>4257.5814</v>
      </c>
      <c r="Q524" s="7">
        <v>17902.567500000001</v>
      </c>
      <c r="R524" s="9">
        <f>D524*VLOOKUP(1001,적!$A$4:$D$13,3,FALSE)</f>
        <v>297020.91820800002</v>
      </c>
      <c r="S524" s="9">
        <f>D524*VLOOKUP(F524,보스!$A$4:$E$5,4,FALSE)</f>
        <v>10692753.055488002</v>
      </c>
    </row>
    <row r="525" spans="1:19" ht="21.95" customHeight="1">
      <c r="A525" s="6">
        <v>5522</v>
      </c>
      <c r="B525" s="2" t="s">
        <v>673</v>
      </c>
      <c r="C525" s="6">
        <v>522</v>
      </c>
      <c r="D525" s="7">
        <v>149301.33507296001</v>
      </c>
      <c r="E525" s="2" t="s">
        <v>152</v>
      </c>
      <c r="F525" s="6">
        <v>2002</v>
      </c>
      <c r="G525" s="6">
        <v>5</v>
      </c>
      <c r="H525" s="7">
        <v>30</v>
      </c>
      <c r="I525" s="6">
        <v>5</v>
      </c>
      <c r="J525" s="6">
        <v>2</v>
      </c>
      <c r="K525" s="6">
        <v>1</v>
      </c>
      <c r="L525" s="6">
        <v>15</v>
      </c>
      <c r="M525" s="6">
        <v>208973</v>
      </c>
      <c r="N525" s="6">
        <v>4179460</v>
      </c>
      <c r="O525" s="6">
        <v>57</v>
      </c>
      <c r="P525" s="7">
        <v>4272.1858400000001</v>
      </c>
      <c r="Q525" s="7">
        <v>17963.974600000001</v>
      </c>
      <c r="R525" s="9">
        <f>D525*VLOOKUP(1001,적!$A$4:$D$13,3,FALSE)</f>
        <v>298602.67014592001</v>
      </c>
      <c r="S525" s="9">
        <f>D525*VLOOKUP(F525,보스!$A$4:$E$5,4,FALSE)</f>
        <v>10749696.12525312</v>
      </c>
    </row>
    <row r="526" spans="1:19" ht="21.95" customHeight="1">
      <c r="A526" s="6">
        <v>5523</v>
      </c>
      <c r="B526" s="2" t="s">
        <v>674</v>
      </c>
      <c r="C526" s="6">
        <v>523</v>
      </c>
      <c r="D526" s="7">
        <v>150095.46457839999</v>
      </c>
      <c r="E526" s="2" t="s">
        <v>152</v>
      </c>
      <c r="F526" s="6">
        <v>2001</v>
      </c>
      <c r="G526" s="6">
        <v>5</v>
      </c>
      <c r="H526" s="7">
        <v>30</v>
      </c>
      <c r="I526" s="6">
        <v>5</v>
      </c>
      <c r="J526" s="6">
        <v>2</v>
      </c>
      <c r="K526" s="6">
        <v>1</v>
      </c>
      <c r="L526" s="6">
        <v>15</v>
      </c>
      <c r="M526" s="6">
        <v>209379</v>
      </c>
      <c r="N526" s="6">
        <v>4187580</v>
      </c>
      <c r="O526" s="6">
        <v>57</v>
      </c>
      <c r="P526" s="7">
        <v>4286.8149199999998</v>
      </c>
      <c r="Q526" s="7">
        <v>18025.4853</v>
      </c>
      <c r="R526" s="9">
        <f>D526*VLOOKUP(1001,적!$A$4:$D$13,3,FALSE)</f>
        <v>300190.92915679998</v>
      </c>
      <c r="S526" s="9">
        <f>D526*VLOOKUP(F526,보스!$A$4:$E$5,4,FALSE)</f>
        <v>10806873.449644798</v>
      </c>
    </row>
    <row r="527" spans="1:19" ht="21.95" customHeight="1">
      <c r="A527" s="6">
        <v>5524</v>
      </c>
      <c r="B527" s="2" t="s">
        <v>675</v>
      </c>
      <c r="C527" s="6">
        <v>524</v>
      </c>
      <c r="D527" s="7">
        <v>150892.85743032</v>
      </c>
      <c r="E527" s="2" t="s">
        <v>152</v>
      </c>
      <c r="F527" s="6">
        <v>2002</v>
      </c>
      <c r="G527" s="6">
        <v>5</v>
      </c>
      <c r="H527" s="7">
        <v>30</v>
      </c>
      <c r="I527" s="6">
        <v>5</v>
      </c>
      <c r="J527" s="6">
        <v>2</v>
      </c>
      <c r="K527" s="6">
        <v>1</v>
      </c>
      <c r="L527" s="6">
        <v>15</v>
      </c>
      <c r="M527" s="6">
        <v>209786</v>
      </c>
      <c r="N527" s="6">
        <v>4195720</v>
      </c>
      <c r="O527" s="6">
        <v>57</v>
      </c>
      <c r="P527" s="7">
        <v>4301.4686400000001</v>
      </c>
      <c r="Q527" s="7">
        <v>18087.099600000001</v>
      </c>
      <c r="R527" s="9">
        <f>D527*VLOOKUP(1001,적!$A$4:$D$13,3,FALSE)</f>
        <v>301785.71486064</v>
      </c>
      <c r="S527" s="9">
        <f>D527*VLOOKUP(F527,보스!$A$4:$E$5,4,FALSE)</f>
        <v>10864285.73498304</v>
      </c>
    </row>
    <row r="528" spans="1:19" ht="21.95" customHeight="1">
      <c r="A528" s="6">
        <v>5525</v>
      </c>
      <c r="B528" s="2" t="s">
        <v>676</v>
      </c>
      <c r="C528" s="6">
        <v>525</v>
      </c>
      <c r="D528" s="7">
        <v>151693.523456</v>
      </c>
      <c r="E528" s="2" t="s">
        <v>152</v>
      </c>
      <c r="F528" s="6">
        <v>2001</v>
      </c>
      <c r="G528" s="6">
        <v>5</v>
      </c>
      <c r="H528" s="7">
        <v>30</v>
      </c>
      <c r="I528" s="6">
        <v>5</v>
      </c>
      <c r="J528" s="6">
        <v>2</v>
      </c>
      <c r="K528" s="6">
        <v>1</v>
      </c>
      <c r="L528" s="6">
        <v>15</v>
      </c>
      <c r="M528" s="6">
        <v>210192</v>
      </c>
      <c r="N528" s="6">
        <v>4203840</v>
      </c>
      <c r="O528" s="6">
        <v>57</v>
      </c>
      <c r="P528" s="7">
        <v>4316.1469999999999</v>
      </c>
      <c r="Q528" s="7">
        <v>18148.817500000001</v>
      </c>
      <c r="R528" s="9">
        <f>D528*VLOOKUP(1001,적!$A$4:$D$13,3,FALSE)</f>
        <v>303387.04691199999</v>
      </c>
      <c r="S528" s="9">
        <f>D528*VLOOKUP(F528,보스!$A$4:$E$5,4,FALSE)</f>
        <v>10921933.688832</v>
      </c>
    </row>
    <row r="529" spans="1:19" ht="21.95" customHeight="1">
      <c r="A529" s="6">
        <v>5526</v>
      </c>
      <c r="B529" s="2" t="s">
        <v>677</v>
      </c>
      <c r="C529" s="6">
        <v>526</v>
      </c>
      <c r="D529" s="7">
        <v>152497.4725</v>
      </c>
      <c r="E529" s="2" t="s">
        <v>152</v>
      </c>
      <c r="F529" s="6">
        <v>2002</v>
      </c>
      <c r="G529" s="6">
        <v>5</v>
      </c>
      <c r="H529" s="7">
        <v>30</v>
      </c>
      <c r="I529" s="6">
        <v>5</v>
      </c>
      <c r="J529" s="6">
        <v>2</v>
      </c>
      <c r="K529" s="6">
        <v>1</v>
      </c>
      <c r="L529" s="6">
        <v>15</v>
      </c>
      <c r="M529" s="6">
        <v>210598</v>
      </c>
      <c r="N529" s="6">
        <v>4211960</v>
      </c>
      <c r="O529" s="6">
        <v>57</v>
      </c>
      <c r="P529" s="7">
        <v>4330.8500000000004</v>
      </c>
      <c r="Q529" s="7">
        <v>18210.638999999999</v>
      </c>
      <c r="R529" s="9">
        <f>D529*VLOOKUP(1001,적!$A$4:$D$13,3,FALSE)</f>
        <v>304994.94500000001</v>
      </c>
      <c r="S529" s="9">
        <f>D529*VLOOKUP(F529,보스!$A$4:$E$5,4,FALSE)</f>
        <v>10979818.02</v>
      </c>
    </row>
    <row r="530" spans="1:19" ht="21.95" customHeight="1">
      <c r="A530" s="6">
        <v>5527</v>
      </c>
      <c r="B530" s="2" t="s">
        <v>678</v>
      </c>
      <c r="C530" s="6">
        <v>527</v>
      </c>
      <c r="D530" s="7">
        <v>153304.71442415999</v>
      </c>
      <c r="E530" s="2" t="s">
        <v>152</v>
      </c>
      <c r="F530" s="6">
        <v>2001</v>
      </c>
      <c r="G530" s="6">
        <v>5</v>
      </c>
      <c r="H530" s="7">
        <v>30</v>
      </c>
      <c r="I530" s="6">
        <v>5</v>
      </c>
      <c r="J530" s="6">
        <v>2</v>
      </c>
      <c r="K530" s="6">
        <v>1</v>
      </c>
      <c r="L530" s="6">
        <v>15</v>
      </c>
      <c r="M530" s="6">
        <v>211005</v>
      </c>
      <c r="N530" s="6">
        <v>4220100</v>
      </c>
      <c r="O530" s="6">
        <v>57</v>
      </c>
      <c r="P530" s="7">
        <v>4345.5776400000004</v>
      </c>
      <c r="Q530" s="7">
        <v>18272.5641</v>
      </c>
      <c r="R530" s="9">
        <f>D530*VLOOKUP(1001,적!$A$4:$D$13,3,FALSE)</f>
        <v>306609.42884831998</v>
      </c>
      <c r="S530" s="9">
        <f>D530*VLOOKUP(F530,보스!$A$4:$E$5,4,FALSE)</f>
        <v>11037939.43853952</v>
      </c>
    </row>
    <row r="531" spans="1:19" ht="21.95" customHeight="1">
      <c r="A531" s="6">
        <v>5528</v>
      </c>
      <c r="B531" s="2" t="s">
        <v>679</v>
      </c>
      <c r="C531" s="6">
        <v>528</v>
      </c>
      <c r="D531" s="7">
        <v>154115.2591076</v>
      </c>
      <c r="E531" s="2" t="s">
        <v>152</v>
      </c>
      <c r="F531" s="6">
        <v>2002</v>
      </c>
      <c r="G531" s="6">
        <v>5</v>
      </c>
      <c r="H531" s="7">
        <v>30</v>
      </c>
      <c r="I531" s="6">
        <v>5</v>
      </c>
      <c r="J531" s="6">
        <v>2</v>
      </c>
      <c r="K531" s="6">
        <v>1</v>
      </c>
      <c r="L531" s="6">
        <v>15</v>
      </c>
      <c r="M531" s="6">
        <v>211411</v>
      </c>
      <c r="N531" s="6">
        <v>4228220</v>
      </c>
      <c r="O531" s="6">
        <v>57</v>
      </c>
      <c r="P531" s="7">
        <v>4360.3299200000001</v>
      </c>
      <c r="Q531" s="7">
        <v>18334.592799999999</v>
      </c>
      <c r="R531" s="9">
        <f>D531*VLOOKUP(1001,적!$A$4:$D$13,3,FALSE)</f>
        <v>308230.51821519999</v>
      </c>
      <c r="S531" s="9">
        <f>D531*VLOOKUP(F531,보스!$A$4:$E$5,4,FALSE)</f>
        <v>11096298.655747199</v>
      </c>
    </row>
    <row r="532" spans="1:19" ht="21.95" customHeight="1">
      <c r="A532" s="6">
        <v>5529</v>
      </c>
      <c r="B532" s="2" t="s">
        <v>680</v>
      </c>
      <c r="C532" s="6">
        <v>529</v>
      </c>
      <c r="D532" s="7">
        <v>154929.11644672</v>
      </c>
      <c r="E532" s="2" t="s">
        <v>152</v>
      </c>
      <c r="F532" s="6">
        <v>2001</v>
      </c>
      <c r="G532" s="6">
        <v>5</v>
      </c>
      <c r="H532" s="7">
        <v>30</v>
      </c>
      <c r="I532" s="6">
        <v>5</v>
      </c>
      <c r="J532" s="6">
        <v>2</v>
      </c>
      <c r="K532" s="6">
        <v>1</v>
      </c>
      <c r="L532" s="6">
        <v>15</v>
      </c>
      <c r="M532" s="6">
        <v>211817</v>
      </c>
      <c r="N532" s="6">
        <v>4236340</v>
      </c>
      <c r="O532" s="6">
        <v>57</v>
      </c>
      <c r="P532" s="7">
        <v>4375.1068400000004</v>
      </c>
      <c r="Q532" s="7">
        <v>18396.7251</v>
      </c>
      <c r="R532" s="9">
        <f>D532*VLOOKUP(1001,적!$A$4:$D$13,3,FALSE)</f>
        <v>309858.23289344</v>
      </c>
      <c r="S532" s="9">
        <f>D532*VLOOKUP(F532,보스!$A$4:$E$5,4,FALSE)</f>
        <v>11154896.38416384</v>
      </c>
    </row>
    <row r="533" spans="1:19" ht="21.95" customHeight="1">
      <c r="A533" s="6">
        <v>5530</v>
      </c>
      <c r="B533" s="2" t="s">
        <v>681</v>
      </c>
      <c r="C533" s="6">
        <v>530</v>
      </c>
      <c r="D533" s="7">
        <v>155746.2963552</v>
      </c>
      <c r="E533" s="2" t="s">
        <v>152</v>
      </c>
      <c r="F533" s="6">
        <v>2002</v>
      </c>
      <c r="G533" s="6">
        <v>5</v>
      </c>
      <c r="H533" s="7">
        <v>30</v>
      </c>
      <c r="I533" s="6">
        <v>5</v>
      </c>
      <c r="J533" s="6">
        <v>2</v>
      </c>
      <c r="K533" s="6">
        <v>1</v>
      </c>
      <c r="L533" s="6">
        <v>15</v>
      </c>
      <c r="M533" s="6">
        <v>212224</v>
      </c>
      <c r="N533" s="6">
        <v>4244480</v>
      </c>
      <c r="O533" s="6">
        <v>58</v>
      </c>
      <c r="P533" s="7">
        <v>4389.9084000000003</v>
      </c>
      <c r="Q533" s="7">
        <v>18458.960999999999</v>
      </c>
      <c r="R533" s="9">
        <f>D533*VLOOKUP(1001,적!$A$4:$D$13,3,FALSE)</f>
        <v>311492.5927104</v>
      </c>
      <c r="S533" s="9">
        <f>D533*VLOOKUP(F533,보스!$A$4:$E$5,4,FALSE)</f>
        <v>11213733.3375744</v>
      </c>
    </row>
    <row r="534" spans="1:19" ht="21.95" customHeight="1">
      <c r="A534" s="6">
        <v>5531</v>
      </c>
      <c r="B534" s="2" t="s">
        <v>682</v>
      </c>
      <c r="C534" s="6">
        <v>531</v>
      </c>
      <c r="D534" s="7">
        <v>156566.80876399999</v>
      </c>
      <c r="E534" s="2" t="s">
        <v>152</v>
      </c>
      <c r="F534" s="6">
        <v>2001</v>
      </c>
      <c r="G534" s="6">
        <v>5</v>
      </c>
      <c r="H534" s="7">
        <v>30</v>
      </c>
      <c r="I534" s="6">
        <v>5</v>
      </c>
      <c r="J534" s="6">
        <v>2</v>
      </c>
      <c r="K534" s="6">
        <v>1</v>
      </c>
      <c r="L534" s="6">
        <v>15</v>
      </c>
      <c r="M534" s="6">
        <v>212630</v>
      </c>
      <c r="N534" s="6">
        <v>4252600</v>
      </c>
      <c r="O534" s="6">
        <v>58</v>
      </c>
      <c r="P534" s="7">
        <v>4404.7345999999998</v>
      </c>
      <c r="Q534" s="7">
        <v>18521.300500000001</v>
      </c>
      <c r="R534" s="9">
        <f>D534*VLOOKUP(1001,적!$A$4:$D$13,3,FALSE)</f>
        <v>313133.61752799997</v>
      </c>
      <c r="S534" s="9">
        <f>D534*VLOOKUP(F534,보스!$A$4:$E$5,4,FALSE)</f>
        <v>11272810.231007999</v>
      </c>
    </row>
    <row r="535" spans="1:19" ht="21.95" customHeight="1">
      <c r="A535" s="6">
        <v>5532</v>
      </c>
      <c r="B535" s="2" t="s">
        <v>683</v>
      </c>
      <c r="C535" s="6">
        <v>532</v>
      </c>
      <c r="D535" s="7">
        <v>157390.66362136</v>
      </c>
      <c r="E535" s="2" t="s">
        <v>152</v>
      </c>
      <c r="F535" s="6">
        <v>2002</v>
      </c>
      <c r="G535" s="6">
        <v>5</v>
      </c>
      <c r="H535" s="7">
        <v>30</v>
      </c>
      <c r="I535" s="6">
        <v>5</v>
      </c>
      <c r="J535" s="6">
        <v>2</v>
      </c>
      <c r="K535" s="6">
        <v>1</v>
      </c>
      <c r="L535" s="6">
        <v>15</v>
      </c>
      <c r="M535" s="6">
        <v>213036</v>
      </c>
      <c r="N535" s="6">
        <v>4260720</v>
      </c>
      <c r="O535" s="6">
        <v>58</v>
      </c>
      <c r="P535" s="7">
        <v>4419.5854399999998</v>
      </c>
      <c r="Q535" s="7">
        <v>18583.743600000002</v>
      </c>
      <c r="R535" s="9">
        <f>D535*VLOOKUP(1001,적!$A$4:$D$13,3,FALSE)</f>
        <v>314781.32724272</v>
      </c>
      <c r="S535" s="9">
        <f>D535*VLOOKUP(F535,보스!$A$4:$E$5,4,FALSE)</f>
        <v>11332127.78073792</v>
      </c>
    </row>
    <row r="536" spans="1:19" ht="21.95" customHeight="1">
      <c r="A536" s="6">
        <v>5533</v>
      </c>
      <c r="B536" s="2" t="s">
        <v>684</v>
      </c>
      <c r="C536" s="6">
        <v>533</v>
      </c>
      <c r="D536" s="7">
        <v>158217.87089280001</v>
      </c>
      <c r="E536" s="2" t="s">
        <v>152</v>
      </c>
      <c r="F536" s="6">
        <v>2001</v>
      </c>
      <c r="G536" s="6">
        <v>5</v>
      </c>
      <c r="H536" s="7">
        <v>30</v>
      </c>
      <c r="I536" s="6">
        <v>5</v>
      </c>
      <c r="J536" s="6">
        <v>2</v>
      </c>
      <c r="K536" s="6">
        <v>1</v>
      </c>
      <c r="L536" s="6">
        <v>15</v>
      </c>
      <c r="M536" s="6">
        <v>213442</v>
      </c>
      <c r="N536" s="6">
        <v>4268840</v>
      </c>
      <c r="O536" s="6">
        <v>58</v>
      </c>
      <c r="P536" s="7">
        <v>4434.4609200000004</v>
      </c>
      <c r="Q536" s="7">
        <v>18646.290300000001</v>
      </c>
      <c r="R536" s="9">
        <f>D536*VLOOKUP(1001,적!$A$4:$D$13,3,FALSE)</f>
        <v>316435.74178560002</v>
      </c>
      <c r="S536" s="9">
        <f>D536*VLOOKUP(F536,보스!$A$4:$E$5,4,FALSE)</f>
        <v>11391686.7042816</v>
      </c>
    </row>
    <row r="537" spans="1:19" ht="21.95" customHeight="1">
      <c r="A537" s="6">
        <v>5534</v>
      </c>
      <c r="B537" s="2" t="s">
        <v>685</v>
      </c>
      <c r="C537" s="6">
        <v>534</v>
      </c>
      <c r="D537" s="7">
        <v>159048.44056111999</v>
      </c>
      <c r="E537" s="2" t="s">
        <v>152</v>
      </c>
      <c r="F537" s="6">
        <v>2002</v>
      </c>
      <c r="G537" s="6">
        <v>5</v>
      </c>
      <c r="H537" s="7">
        <v>30</v>
      </c>
      <c r="I537" s="6">
        <v>5</v>
      </c>
      <c r="J537" s="6">
        <v>2</v>
      </c>
      <c r="K537" s="6">
        <v>1</v>
      </c>
      <c r="L537" s="6">
        <v>15</v>
      </c>
      <c r="M537" s="6">
        <v>213849</v>
      </c>
      <c r="N537" s="6">
        <v>4276980</v>
      </c>
      <c r="O537" s="6">
        <v>58</v>
      </c>
      <c r="P537" s="7">
        <v>4449.3610399999998</v>
      </c>
      <c r="Q537" s="7">
        <v>18708.940600000002</v>
      </c>
      <c r="R537" s="9">
        <f>D537*VLOOKUP(1001,적!$A$4:$D$13,3,FALSE)</f>
        <v>318096.88112223998</v>
      </c>
      <c r="S537" s="9">
        <f>D537*VLOOKUP(F537,보스!$A$4:$E$5,4,FALSE)</f>
        <v>11451487.720400639</v>
      </c>
    </row>
    <row r="538" spans="1:19" ht="21.95" customHeight="1">
      <c r="A538" s="6">
        <v>5535</v>
      </c>
      <c r="B538" s="2" t="s">
        <v>686</v>
      </c>
      <c r="C538" s="6">
        <v>535</v>
      </c>
      <c r="D538" s="7">
        <v>159882.38262640001</v>
      </c>
      <c r="E538" s="2" t="s">
        <v>152</v>
      </c>
      <c r="F538" s="6">
        <v>2001</v>
      </c>
      <c r="G538" s="6">
        <v>5</v>
      </c>
      <c r="H538" s="7">
        <v>30</v>
      </c>
      <c r="I538" s="6">
        <v>5</v>
      </c>
      <c r="J538" s="6">
        <v>2</v>
      </c>
      <c r="K538" s="6">
        <v>1</v>
      </c>
      <c r="L538" s="6">
        <v>15</v>
      </c>
      <c r="M538" s="6">
        <v>214255</v>
      </c>
      <c r="N538" s="6">
        <v>4285100</v>
      </c>
      <c r="O538" s="6">
        <v>58</v>
      </c>
      <c r="P538" s="7">
        <v>4464.2857999999997</v>
      </c>
      <c r="Q538" s="7">
        <v>18771.694500000001</v>
      </c>
      <c r="R538" s="9">
        <f>D538*VLOOKUP(1001,적!$A$4:$D$13,3,FALSE)</f>
        <v>319764.76525280002</v>
      </c>
      <c r="S538" s="9">
        <f>D538*VLOOKUP(F538,보스!$A$4:$E$5,4,FALSE)</f>
        <v>11511531.549100801</v>
      </c>
    </row>
    <row r="539" spans="1:19" ht="21.95" customHeight="1">
      <c r="A539" s="6">
        <v>5536</v>
      </c>
      <c r="B539" s="2" t="s">
        <v>687</v>
      </c>
      <c r="C539" s="6">
        <v>536</v>
      </c>
      <c r="D539" s="7">
        <v>160719.70710599999</v>
      </c>
      <c r="E539" s="2" t="s">
        <v>152</v>
      </c>
      <c r="F539" s="6">
        <v>2002</v>
      </c>
      <c r="G539" s="6">
        <v>5</v>
      </c>
      <c r="H539" s="7">
        <v>30</v>
      </c>
      <c r="I539" s="6">
        <v>5</v>
      </c>
      <c r="J539" s="6">
        <v>2</v>
      </c>
      <c r="K539" s="6">
        <v>1</v>
      </c>
      <c r="L539" s="6">
        <v>15</v>
      </c>
      <c r="M539" s="6">
        <v>214661</v>
      </c>
      <c r="N539" s="6">
        <v>4293220</v>
      </c>
      <c r="O539" s="6">
        <v>58</v>
      </c>
      <c r="P539" s="7">
        <v>4479.2352000000001</v>
      </c>
      <c r="Q539" s="7">
        <v>18834.552</v>
      </c>
      <c r="R539" s="9">
        <f>D539*VLOOKUP(1001,적!$A$4:$D$13,3,FALSE)</f>
        <v>321439.41421199997</v>
      </c>
      <c r="S539" s="9">
        <f>D539*VLOOKUP(F539,보스!$A$4:$E$5,4,FALSE)</f>
        <v>11571818.911632</v>
      </c>
    </row>
    <row r="540" spans="1:19" ht="21.95" customHeight="1">
      <c r="A540" s="6">
        <v>5537</v>
      </c>
      <c r="B540" s="2" t="s">
        <v>688</v>
      </c>
      <c r="C540" s="6">
        <v>537</v>
      </c>
      <c r="D540" s="7">
        <v>161560.42403456001</v>
      </c>
      <c r="E540" s="2" t="s">
        <v>152</v>
      </c>
      <c r="F540" s="6">
        <v>2001</v>
      </c>
      <c r="G540" s="6">
        <v>5</v>
      </c>
      <c r="H540" s="7">
        <v>30</v>
      </c>
      <c r="I540" s="6">
        <v>5</v>
      </c>
      <c r="J540" s="6">
        <v>2</v>
      </c>
      <c r="K540" s="6">
        <v>1</v>
      </c>
      <c r="L540" s="6">
        <v>15</v>
      </c>
      <c r="M540" s="6">
        <v>215068</v>
      </c>
      <c r="N540" s="6">
        <v>4301360</v>
      </c>
      <c r="O540" s="6">
        <v>58</v>
      </c>
      <c r="P540" s="7">
        <v>4494.2092400000001</v>
      </c>
      <c r="Q540" s="7">
        <v>18897.5131</v>
      </c>
      <c r="R540" s="9">
        <f>D540*VLOOKUP(1001,적!$A$4:$D$13,3,FALSE)</f>
        <v>323120.84806912002</v>
      </c>
      <c r="S540" s="9">
        <f>D540*VLOOKUP(F540,보스!$A$4:$E$5,4,FALSE)</f>
        <v>11632350.530488322</v>
      </c>
    </row>
    <row r="541" spans="1:19" ht="21.95" customHeight="1">
      <c r="A541" s="6">
        <v>5538</v>
      </c>
      <c r="B541" s="2" t="s">
        <v>689</v>
      </c>
      <c r="C541" s="6">
        <v>538</v>
      </c>
      <c r="D541" s="7">
        <v>162404.54346399999</v>
      </c>
      <c r="E541" s="2" t="s">
        <v>152</v>
      </c>
      <c r="F541" s="6">
        <v>2002</v>
      </c>
      <c r="G541" s="6">
        <v>5</v>
      </c>
      <c r="H541" s="7">
        <v>30</v>
      </c>
      <c r="I541" s="6">
        <v>5</v>
      </c>
      <c r="J541" s="6">
        <v>2</v>
      </c>
      <c r="K541" s="6">
        <v>1</v>
      </c>
      <c r="L541" s="6">
        <v>15</v>
      </c>
      <c r="M541" s="6">
        <v>215474</v>
      </c>
      <c r="N541" s="6">
        <v>4309480</v>
      </c>
      <c r="O541" s="6">
        <v>58</v>
      </c>
      <c r="P541" s="7">
        <v>4509.2079199999998</v>
      </c>
      <c r="Q541" s="7">
        <v>18960.577799999999</v>
      </c>
      <c r="R541" s="9">
        <f>D541*VLOOKUP(1001,적!$A$4:$D$13,3,FALSE)</f>
        <v>324809.08692799998</v>
      </c>
      <c r="S541" s="9">
        <f>D541*VLOOKUP(F541,보스!$A$4:$E$5,4,FALSE)</f>
        <v>11693127.129407998</v>
      </c>
    </row>
    <row r="542" spans="1:19" ht="21.95" customHeight="1">
      <c r="A542" s="6">
        <v>5539</v>
      </c>
      <c r="B542" s="2" t="s">
        <v>690</v>
      </c>
      <c r="C542" s="6">
        <v>539</v>
      </c>
      <c r="D542" s="7">
        <v>163252.07546352001</v>
      </c>
      <c r="E542" s="2" t="s">
        <v>152</v>
      </c>
      <c r="F542" s="6">
        <v>2001</v>
      </c>
      <c r="G542" s="6">
        <v>5</v>
      </c>
      <c r="H542" s="7">
        <v>30</v>
      </c>
      <c r="I542" s="6">
        <v>5</v>
      </c>
      <c r="J542" s="6">
        <v>2</v>
      </c>
      <c r="K542" s="6">
        <v>1</v>
      </c>
      <c r="L542" s="6">
        <v>15</v>
      </c>
      <c r="M542" s="6">
        <v>215880</v>
      </c>
      <c r="N542" s="6">
        <v>4317600</v>
      </c>
      <c r="O542" s="6">
        <v>58</v>
      </c>
      <c r="P542" s="7">
        <v>4524.2312400000001</v>
      </c>
      <c r="Q542" s="7">
        <v>19023.7461</v>
      </c>
      <c r="R542" s="9">
        <f>D542*VLOOKUP(1001,적!$A$4:$D$13,3,FALSE)</f>
        <v>326504.15092704003</v>
      </c>
      <c r="S542" s="9">
        <f>D542*VLOOKUP(F542,보스!$A$4:$E$5,4,FALSE)</f>
        <v>11754149.43337344</v>
      </c>
    </row>
    <row r="543" spans="1:19" ht="21.95" customHeight="1">
      <c r="A543" s="6">
        <v>5540</v>
      </c>
      <c r="B543" s="2" t="s">
        <v>691</v>
      </c>
      <c r="C543" s="6">
        <v>540</v>
      </c>
      <c r="D543" s="7">
        <v>164103.03011960001</v>
      </c>
      <c r="E543" s="2" t="s">
        <v>152</v>
      </c>
      <c r="F543" s="6">
        <v>2002</v>
      </c>
      <c r="G543" s="6">
        <v>5</v>
      </c>
      <c r="H543" s="7">
        <v>30</v>
      </c>
      <c r="I543" s="6">
        <v>5</v>
      </c>
      <c r="J543" s="6">
        <v>2</v>
      </c>
      <c r="K543" s="6">
        <v>1</v>
      </c>
      <c r="L543" s="6">
        <v>15</v>
      </c>
      <c r="M543" s="6">
        <v>216286</v>
      </c>
      <c r="N543" s="6">
        <v>4325720</v>
      </c>
      <c r="O543" s="6">
        <v>59</v>
      </c>
      <c r="P543" s="7">
        <v>4539.2791999999999</v>
      </c>
      <c r="Q543" s="7">
        <v>19087.018</v>
      </c>
      <c r="R543" s="9">
        <f>D543*VLOOKUP(1001,적!$A$4:$D$13,3,FALSE)</f>
        <v>328206.06023920001</v>
      </c>
      <c r="S543" s="9">
        <f>D543*VLOOKUP(F543,보스!$A$4:$E$5,4,FALSE)</f>
        <v>11815418.168611201</v>
      </c>
    </row>
    <row r="544" spans="1:19" ht="21.95" customHeight="1">
      <c r="A544" s="6">
        <v>5541</v>
      </c>
      <c r="B544" s="2" t="s">
        <v>692</v>
      </c>
      <c r="C544" s="6">
        <v>541</v>
      </c>
      <c r="D544" s="7">
        <v>164957.41753599999</v>
      </c>
      <c r="E544" s="2" t="s">
        <v>152</v>
      </c>
      <c r="F544" s="6">
        <v>2001</v>
      </c>
      <c r="G544" s="6">
        <v>5</v>
      </c>
      <c r="H544" s="7">
        <v>30</v>
      </c>
      <c r="I544" s="6">
        <v>5</v>
      </c>
      <c r="J544" s="6">
        <v>2</v>
      </c>
      <c r="K544" s="6">
        <v>1</v>
      </c>
      <c r="L544" s="6">
        <v>15</v>
      </c>
      <c r="M544" s="6">
        <v>216693</v>
      </c>
      <c r="N544" s="6">
        <v>4333860</v>
      </c>
      <c r="O544" s="6">
        <v>59</v>
      </c>
      <c r="P544" s="7">
        <v>4554.3518000000004</v>
      </c>
      <c r="Q544" s="7">
        <v>19150.393499999998</v>
      </c>
      <c r="R544" s="9">
        <f>D544*VLOOKUP(1001,적!$A$4:$D$13,3,FALSE)</f>
        <v>329914.83507199999</v>
      </c>
      <c r="S544" s="9">
        <f>D544*VLOOKUP(F544,보스!$A$4:$E$5,4,FALSE)</f>
        <v>11876934.062592</v>
      </c>
    </row>
    <row r="545" spans="1:19" ht="21.95" customHeight="1">
      <c r="A545" s="6">
        <v>5542</v>
      </c>
      <c r="B545" s="2" t="s">
        <v>693</v>
      </c>
      <c r="C545" s="6">
        <v>542</v>
      </c>
      <c r="D545" s="7">
        <v>165815.24783375999</v>
      </c>
      <c r="E545" s="2" t="s">
        <v>152</v>
      </c>
      <c r="F545" s="6">
        <v>2002</v>
      </c>
      <c r="G545" s="6">
        <v>5</v>
      </c>
      <c r="H545" s="7">
        <v>30</v>
      </c>
      <c r="I545" s="6">
        <v>5</v>
      </c>
      <c r="J545" s="6">
        <v>2</v>
      </c>
      <c r="K545" s="6">
        <v>1</v>
      </c>
      <c r="L545" s="6">
        <v>15</v>
      </c>
      <c r="M545" s="6">
        <v>217099</v>
      </c>
      <c r="N545" s="6">
        <v>4341980</v>
      </c>
      <c r="O545" s="6">
        <v>59</v>
      </c>
      <c r="P545" s="7">
        <v>4569.4490400000004</v>
      </c>
      <c r="Q545" s="7">
        <v>19213.872599999999</v>
      </c>
      <c r="R545" s="9">
        <f>D545*VLOOKUP(1001,적!$A$4:$D$13,3,FALSE)</f>
        <v>331630.49566751998</v>
      </c>
      <c r="S545" s="9">
        <f>D545*VLOOKUP(F545,보스!$A$4:$E$5,4,FALSE)</f>
        <v>11938697.844030719</v>
      </c>
    </row>
    <row r="546" spans="1:19" ht="21.95" customHeight="1">
      <c r="A546" s="6">
        <v>5543</v>
      </c>
      <c r="B546" s="2" t="s">
        <v>694</v>
      </c>
      <c r="C546" s="6">
        <v>543</v>
      </c>
      <c r="D546" s="7">
        <v>166676.5311512</v>
      </c>
      <c r="E546" s="2" t="s">
        <v>152</v>
      </c>
      <c r="F546" s="6">
        <v>2001</v>
      </c>
      <c r="G546" s="6">
        <v>5</v>
      </c>
      <c r="H546" s="7">
        <v>30</v>
      </c>
      <c r="I546" s="6">
        <v>5</v>
      </c>
      <c r="J546" s="6">
        <v>2</v>
      </c>
      <c r="K546" s="6">
        <v>1</v>
      </c>
      <c r="L546" s="6">
        <v>15</v>
      </c>
      <c r="M546" s="6">
        <v>217505</v>
      </c>
      <c r="N546" s="6">
        <v>4350100</v>
      </c>
      <c r="O546" s="6">
        <v>59</v>
      </c>
      <c r="P546" s="7">
        <v>4584.5709200000001</v>
      </c>
      <c r="Q546" s="7">
        <v>19277.455300000001</v>
      </c>
      <c r="R546" s="9">
        <f>D546*VLOOKUP(1001,적!$A$4:$D$13,3,FALSE)</f>
        <v>333353.06230240001</v>
      </c>
      <c r="S546" s="9">
        <f>D546*VLOOKUP(F546,보스!$A$4:$E$5,4,FALSE)</f>
        <v>12000710.2428864</v>
      </c>
    </row>
    <row r="547" spans="1:19" ht="21.95" customHeight="1">
      <c r="A547" s="6">
        <v>5544</v>
      </c>
      <c r="B547" s="2" t="s">
        <v>695</v>
      </c>
      <c r="C547" s="6">
        <v>544</v>
      </c>
      <c r="D547" s="7">
        <v>167541.27764392001</v>
      </c>
      <c r="E547" s="2" t="s">
        <v>152</v>
      </c>
      <c r="F547" s="6">
        <v>2002</v>
      </c>
      <c r="G547" s="6">
        <v>5</v>
      </c>
      <c r="H547" s="7">
        <v>30</v>
      </c>
      <c r="I547" s="6">
        <v>5</v>
      </c>
      <c r="J547" s="6">
        <v>2</v>
      </c>
      <c r="K547" s="6">
        <v>1</v>
      </c>
      <c r="L547" s="6">
        <v>15</v>
      </c>
      <c r="M547" s="6">
        <v>217912</v>
      </c>
      <c r="N547" s="6">
        <v>4358240</v>
      </c>
      <c r="O547" s="6">
        <v>59</v>
      </c>
      <c r="P547" s="7">
        <v>4599.7174400000004</v>
      </c>
      <c r="Q547" s="7">
        <v>19341.141599999999</v>
      </c>
      <c r="R547" s="9">
        <f>D547*VLOOKUP(1001,적!$A$4:$D$13,3,FALSE)</f>
        <v>335082.55528784002</v>
      </c>
      <c r="S547" s="9">
        <f>D547*VLOOKUP(F547,보스!$A$4:$E$5,4,FALSE)</f>
        <v>12062971.99036224</v>
      </c>
    </row>
    <row r="548" spans="1:19" ht="21.95" customHeight="1">
      <c r="A548" s="6">
        <v>5545</v>
      </c>
      <c r="B548" s="2" t="s">
        <v>696</v>
      </c>
      <c r="C548" s="6">
        <v>545</v>
      </c>
      <c r="D548" s="7">
        <v>168409.4974848</v>
      </c>
      <c r="E548" s="2" t="s">
        <v>152</v>
      </c>
      <c r="F548" s="6">
        <v>2001</v>
      </c>
      <c r="G548" s="6">
        <v>5</v>
      </c>
      <c r="H548" s="7">
        <v>30</v>
      </c>
      <c r="I548" s="6">
        <v>5</v>
      </c>
      <c r="J548" s="6">
        <v>2</v>
      </c>
      <c r="K548" s="6">
        <v>1</v>
      </c>
      <c r="L548" s="6">
        <v>15</v>
      </c>
      <c r="M548" s="6">
        <v>218318</v>
      </c>
      <c r="N548" s="6">
        <v>4366360</v>
      </c>
      <c r="O548" s="6">
        <v>59</v>
      </c>
      <c r="P548" s="7">
        <v>4614.8886000000002</v>
      </c>
      <c r="Q548" s="7">
        <v>19404.931499999999</v>
      </c>
      <c r="R548" s="9">
        <f>D548*VLOOKUP(1001,적!$A$4:$D$13,3,FALSE)</f>
        <v>336818.9949696</v>
      </c>
      <c r="S548" s="9">
        <f>D548*VLOOKUP(F548,보스!$A$4:$E$5,4,FALSE)</f>
        <v>12125483.818905599</v>
      </c>
    </row>
    <row r="549" spans="1:19" ht="21.95" customHeight="1">
      <c r="A549" s="6">
        <v>5546</v>
      </c>
      <c r="B549" s="2" t="s">
        <v>697</v>
      </c>
      <c r="C549" s="6">
        <v>546</v>
      </c>
      <c r="D549" s="7">
        <v>169281.20086400001</v>
      </c>
      <c r="E549" s="2" t="s">
        <v>152</v>
      </c>
      <c r="F549" s="6">
        <v>2002</v>
      </c>
      <c r="G549" s="6">
        <v>5</v>
      </c>
      <c r="H549" s="7">
        <v>30</v>
      </c>
      <c r="I549" s="6">
        <v>5</v>
      </c>
      <c r="J549" s="6">
        <v>2</v>
      </c>
      <c r="K549" s="6">
        <v>1</v>
      </c>
      <c r="L549" s="6">
        <v>15</v>
      </c>
      <c r="M549" s="6">
        <v>218724</v>
      </c>
      <c r="N549" s="6">
        <v>4374480</v>
      </c>
      <c r="O549" s="6">
        <v>59</v>
      </c>
      <c r="P549" s="7">
        <v>4630.0843999999997</v>
      </c>
      <c r="Q549" s="7">
        <v>19468.825000000001</v>
      </c>
      <c r="R549" s="9">
        <f>D549*VLOOKUP(1001,적!$A$4:$D$13,3,FALSE)</f>
        <v>338562.40172800003</v>
      </c>
      <c r="S549" s="9">
        <f>D549*VLOOKUP(F549,보스!$A$4:$E$5,4,FALSE)</f>
        <v>12188246.462208001</v>
      </c>
    </row>
    <row r="550" spans="1:19" ht="21.95" customHeight="1">
      <c r="A550" s="6">
        <v>5547</v>
      </c>
      <c r="B550" s="2" t="s">
        <v>698</v>
      </c>
      <c r="C550" s="6">
        <v>547</v>
      </c>
      <c r="D550" s="7">
        <v>170156.39798896</v>
      </c>
      <c r="E550" s="2" t="s">
        <v>152</v>
      </c>
      <c r="F550" s="6">
        <v>2001</v>
      </c>
      <c r="G550" s="6">
        <v>5</v>
      </c>
      <c r="H550" s="7">
        <v>30</v>
      </c>
      <c r="I550" s="6">
        <v>5</v>
      </c>
      <c r="J550" s="6">
        <v>2</v>
      </c>
      <c r="K550" s="6">
        <v>1</v>
      </c>
      <c r="L550" s="6">
        <v>15</v>
      </c>
      <c r="M550" s="6">
        <v>219130</v>
      </c>
      <c r="N550" s="6">
        <v>4382600</v>
      </c>
      <c r="O550" s="6">
        <v>59</v>
      </c>
      <c r="P550" s="7">
        <v>4645.3048399999998</v>
      </c>
      <c r="Q550" s="7">
        <v>19532.822100000001</v>
      </c>
      <c r="R550" s="9">
        <f>D550*VLOOKUP(1001,적!$A$4:$D$13,3,FALSE)</f>
        <v>340312.79597792</v>
      </c>
      <c r="S550" s="9">
        <f>D550*VLOOKUP(F550,보스!$A$4:$E$5,4,FALSE)</f>
        <v>12251260.655205119</v>
      </c>
    </row>
    <row r="551" spans="1:19" ht="21.95" customHeight="1">
      <c r="A551" s="6">
        <v>5548</v>
      </c>
      <c r="B551" s="2" t="s">
        <v>699</v>
      </c>
      <c r="C551" s="6">
        <v>548</v>
      </c>
      <c r="D551" s="7">
        <v>171035.09908439999</v>
      </c>
      <c r="E551" s="2" t="s">
        <v>152</v>
      </c>
      <c r="F551" s="6">
        <v>2002</v>
      </c>
      <c r="G551" s="6">
        <v>5</v>
      </c>
      <c r="H551" s="7">
        <v>30</v>
      </c>
      <c r="I551" s="6">
        <v>5</v>
      </c>
      <c r="J551" s="6">
        <v>2</v>
      </c>
      <c r="K551" s="6">
        <v>1</v>
      </c>
      <c r="L551" s="6">
        <v>15</v>
      </c>
      <c r="M551" s="6">
        <v>219537</v>
      </c>
      <c r="N551" s="6">
        <v>4390740</v>
      </c>
      <c r="O551" s="6">
        <v>59</v>
      </c>
      <c r="P551" s="7">
        <v>4660.5499200000004</v>
      </c>
      <c r="Q551" s="7">
        <v>19596.9228</v>
      </c>
      <c r="R551" s="9">
        <f>D551*VLOOKUP(1001,적!$A$4:$D$13,3,FALSE)</f>
        <v>342070.19816879998</v>
      </c>
      <c r="S551" s="9">
        <f>D551*VLOOKUP(F551,보스!$A$4:$E$5,4,FALSE)</f>
        <v>12314527.1340768</v>
      </c>
    </row>
    <row r="552" spans="1:19" ht="21.95" customHeight="1">
      <c r="A552" s="6">
        <v>5549</v>
      </c>
      <c r="B552" s="2" t="s">
        <v>700</v>
      </c>
      <c r="C552" s="6">
        <v>549</v>
      </c>
      <c r="D552" s="7">
        <v>171917.31439232</v>
      </c>
      <c r="E552" s="2" t="s">
        <v>152</v>
      </c>
      <c r="F552" s="6">
        <v>2001</v>
      </c>
      <c r="G552" s="6">
        <v>5</v>
      </c>
      <c r="H552" s="7">
        <v>30</v>
      </c>
      <c r="I552" s="6">
        <v>5</v>
      </c>
      <c r="J552" s="6">
        <v>2</v>
      </c>
      <c r="K552" s="6">
        <v>1</v>
      </c>
      <c r="L552" s="6">
        <v>15</v>
      </c>
      <c r="M552" s="6">
        <v>219943</v>
      </c>
      <c r="N552" s="6">
        <v>4398860</v>
      </c>
      <c r="O552" s="6">
        <v>59</v>
      </c>
      <c r="P552" s="7">
        <v>4675.8196399999997</v>
      </c>
      <c r="Q552" s="7">
        <v>19661.127100000002</v>
      </c>
      <c r="R552" s="9">
        <f>D552*VLOOKUP(1001,적!$A$4:$D$13,3,FALSE)</f>
        <v>343834.62878463999</v>
      </c>
      <c r="S552" s="9">
        <f>D552*VLOOKUP(F552,보스!$A$4:$E$5,4,FALSE)</f>
        <v>12378046.636247039</v>
      </c>
    </row>
    <row r="553" spans="1:19" ht="21.95" customHeight="1">
      <c r="A553" s="6">
        <v>5550</v>
      </c>
      <c r="B553" s="2" t="s">
        <v>701</v>
      </c>
      <c r="C553" s="6">
        <v>550</v>
      </c>
      <c r="D553" s="7">
        <v>172803.054172</v>
      </c>
      <c r="E553" s="2" t="s">
        <v>152</v>
      </c>
      <c r="F553" s="6">
        <v>2002</v>
      </c>
      <c r="G553" s="6">
        <v>5</v>
      </c>
      <c r="H553" s="7">
        <v>30</v>
      </c>
      <c r="I553" s="6">
        <v>5</v>
      </c>
      <c r="J553" s="6">
        <v>2</v>
      </c>
      <c r="K553" s="6">
        <v>1</v>
      </c>
      <c r="L553" s="6">
        <v>15</v>
      </c>
      <c r="M553" s="6">
        <v>220349</v>
      </c>
      <c r="N553" s="6">
        <v>4406980</v>
      </c>
      <c r="O553" s="6">
        <v>60</v>
      </c>
      <c r="P553" s="7">
        <v>4691.1139999999996</v>
      </c>
      <c r="Q553" s="7">
        <v>19725.435000000001</v>
      </c>
      <c r="R553" s="9">
        <f>D553*VLOOKUP(1001,적!$A$4:$D$13,3,FALSE)</f>
        <v>345606.10834400001</v>
      </c>
      <c r="S553" s="9">
        <f>D553*VLOOKUP(F553,보스!$A$4:$E$5,4,FALSE)</f>
        <v>12441819.900384</v>
      </c>
    </row>
    <row r="554" spans="1:19" ht="21.95" customHeight="1">
      <c r="A554" s="6">
        <v>5551</v>
      </c>
      <c r="B554" s="2" t="s">
        <v>702</v>
      </c>
      <c r="C554" s="6">
        <v>551</v>
      </c>
      <c r="D554" s="7">
        <v>173692.32870000001</v>
      </c>
      <c r="E554" s="2" t="s">
        <v>152</v>
      </c>
      <c r="F554" s="6">
        <v>2001</v>
      </c>
      <c r="G554" s="6">
        <v>5</v>
      </c>
      <c r="H554" s="7">
        <v>30</v>
      </c>
      <c r="I554" s="6">
        <v>5</v>
      </c>
      <c r="J554" s="6">
        <v>2</v>
      </c>
      <c r="K554" s="6">
        <v>1</v>
      </c>
      <c r="L554" s="6">
        <v>15</v>
      </c>
      <c r="M554" s="6">
        <v>220755</v>
      </c>
      <c r="N554" s="6">
        <v>4415100</v>
      </c>
      <c r="O554" s="6">
        <v>60</v>
      </c>
      <c r="P554" s="7">
        <v>4706.433</v>
      </c>
      <c r="Q554" s="7">
        <v>19789.8465</v>
      </c>
      <c r="R554" s="9">
        <f>D554*VLOOKUP(1001,적!$A$4:$D$13,3,FALSE)</f>
        <v>347384.65740000003</v>
      </c>
      <c r="S554" s="9">
        <f>D554*VLOOKUP(F554,보스!$A$4:$E$5,4,FALSE)</f>
        <v>12505847.6664</v>
      </c>
    </row>
    <row r="555" spans="1:19" ht="21.95" customHeight="1">
      <c r="A555" s="6">
        <v>5552</v>
      </c>
      <c r="B555" s="2" t="s">
        <v>703</v>
      </c>
      <c r="C555" s="6">
        <v>552</v>
      </c>
      <c r="D555" s="7">
        <v>174585.14827015999</v>
      </c>
      <c r="E555" s="2" t="s">
        <v>152</v>
      </c>
      <c r="F555" s="6">
        <v>2002</v>
      </c>
      <c r="G555" s="6">
        <v>5</v>
      </c>
      <c r="H555" s="7">
        <v>30</v>
      </c>
      <c r="I555" s="6">
        <v>5</v>
      </c>
      <c r="J555" s="6">
        <v>2</v>
      </c>
      <c r="K555" s="6">
        <v>1</v>
      </c>
      <c r="L555" s="6">
        <v>15</v>
      </c>
      <c r="M555" s="6">
        <v>221162</v>
      </c>
      <c r="N555" s="6">
        <v>4423240</v>
      </c>
      <c r="O555" s="6">
        <v>60</v>
      </c>
      <c r="P555" s="7">
        <v>4721.77664</v>
      </c>
      <c r="Q555" s="7">
        <v>19854.3616</v>
      </c>
      <c r="R555" s="9">
        <f>D555*VLOOKUP(1001,적!$A$4:$D$13,3,FALSE)</f>
        <v>349170.29654031998</v>
      </c>
      <c r="S555" s="9">
        <f>D555*VLOOKUP(F555,보스!$A$4:$E$5,4,FALSE)</f>
        <v>12570130.675451519</v>
      </c>
    </row>
    <row r="556" spans="1:19" ht="21.95" customHeight="1">
      <c r="A556" s="6">
        <v>5553</v>
      </c>
      <c r="B556" s="2" t="s">
        <v>704</v>
      </c>
      <c r="C556" s="6">
        <v>553</v>
      </c>
      <c r="D556" s="7">
        <v>175481.52319360001</v>
      </c>
      <c r="E556" s="2" t="s">
        <v>152</v>
      </c>
      <c r="F556" s="6">
        <v>2001</v>
      </c>
      <c r="G556" s="6">
        <v>5</v>
      </c>
      <c r="H556" s="7">
        <v>30</v>
      </c>
      <c r="I556" s="6">
        <v>5</v>
      </c>
      <c r="J556" s="6">
        <v>2</v>
      </c>
      <c r="K556" s="6">
        <v>1</v>
      </c>
      <c r="L556" s="6">
        <v>15</v>
      </c>
      <c r="M556" s="6">
        <v>221568</v>
      </c>
      <c r="N556" s="6">
        <v>4431360</v>
      </c>
      <c r="O556" s="6">
        <v>60</v>
      </c>
      <c r="P556" s="7">
        <v>4737.1449199999997</v>
      </c>
      <c r="Q556" s="7">
        <v>19918.980299999999</v>
      </c>
      <c r="R556" s="9">
        <f>D556*VLOOKUP(1001,적!$A$4:$D$13,3,FALSE)</f>
        <v>350963.04638720001</v>
      </c>
      <c r="S556" s="9">
        <f>D556*VLOOKUP(F556,보스!$A$4:$E$5,4,FALSE)</f>
        <v>12634669.669939201</v>
      </c>
    </row>
    <row r="557" spans="1:19" ht="21.95" customHeight="1">
      <c r="A557" s="6">
        <v>5554</v>
      </c>
      <c r="B557" s="2" t="s">
        <v>705</v>
      </c>
      <c r="C557" s="6">
        <v>554</v>
      </c>
      <c r="D557" s="7">
        <v>176381.46379872001</v>
      </c>
      <c r="E557" s="2" t="s">
        <v>152</v>
      </c>
      <c r="F557" s="6">
        <v>2002</v>
      </c>
      <c r="G557" s="6">
        <v>5</v>
      </c>
      <c r="H557" s="7">
        <v>30</v>
      </c>
      <c r="I557" s="6">
        <v>5</v>
      </c>
      <c r="J557" s="6">
        <v>2</v>
      </c>
      <c r="K557" s="6">
        <v>1</v>
      </c>
      <c r="L557" s="6">
        <v>15</v>
      </c>
      <c r="M557" s="6">
        <v>221974</v>
      </c>
      <c r="N557" s="6">
        <v>4439480</v>
      </c>
      <c r="O557" s="6">
        <v>60</v>
      </c>
      <c r="P557" s="7">
        <v>4752.53784</v>
      </c>
      <c r="Q557" s="7">
        <v>19983.702600000001</v>
      </c>
      <c r="R557" s="9">
        <f>D557*VLOOKUP(1001,적!$A$4:$D$13,3,FALSE)</f>
        <v>352762.92759744002</v>
      </c>
      <c r="S557" s="9">
        <f>D557*VLOOKUP(F557,보스!$A$4:$E$5,4,FALSE)</f>
        <v>12699465.39350784</v>
      </c>
    </row>
    <row r="558" spans="1:19" ht="21.95" customHeight="1">
      <c r="A558" s="6">
        <v>5555</v>
      </c>
      <c r="B558" s="2" t="s">
        <v>706</v>
      </c>
      <c r="C558" s="6">
        <v>555</v>
      </c>
      <c r="D558" s="7">
        <v>177284.98043120001</v>
      </c>
      <c r="E558" s="2" t="s">
        <v>152</v>
      </c>
      <c r="F558" s="6">
        <v>2001</v>
      </c>
      <c r="G558" s="6">
        <v>5</v>
      </c>
      <c r="H558" s="7">
        <v>30</v>
      </c>
      <c r="I558" s="6">
        <v>5</v>
      </c>
      <c r="J558" s="6">
        <v>2</v>
      </c>
      <c r="K558" s="6">
        <v>1</v>
      </c>
      <c r="L558" s="6">
        <v>15</v>
      </c>
      <c r="M558" s="6">
        <v>222380</v>
      </c>
      <c r="N558" s="6">
        <v>4447600</v>
      </c>
      <c r="O558" s="6">
        <v>60</v>
      </c>
      <c r="P558" s="7">
        <v>4767.9553999999998</v>
      </c>
      <c r="Q558" s="7">
        <v>20048.5285</v>
      </c>
      <c r="R558" s="9">
        <f>D558*VLOOKUP(1001,적!$A$4:$D$13,3,FALSE)</f>
        <v>354569.96086240001</v>
      </c>
      <c r="S558" s="9">
        <f>D558*VLOOKUP(F558,보스!$A$4:$E$5,4,FALSE)</f>
        <v>12764518.5910464</v>
      </c>
    </row>
    <row r="559" spans="1:19" ht="21.95" customHeight="1">
      <c r="A559" s="6">
        <v>5556</v>
      </c>
      <c r="B559" s="2" t="s">
        <v>707</v>
      </c>
      <c r="C559" s="6">
        <v>556</v>
      </c>
      <c r="D559" s="7">
        <v>178192.08345400001</v>
      </c>
      <c r="E559" s="2" t="s">
        <v>152</v>
      </c>
      <c r="F559" s="6">
        <v>2002</v>
      </c>
      <c r="G559" s="6">
        <v>5</v>
      </c>
      <c r="H559" s="7">
        <v>30</v>
      </c>
      <c r="I559" s="6">
        <v>5</v>
      </c>
      <c r="J559" s="6">
        <v>2</v>
      </c>
      <c r="K559" s="6">
        <v>1</v>
      </c>
      <c r="L559" s="6">
        <v>15</v>
      </c>
      <c r="M559" s="6">
        <v>222787</v>
      </c>
      <c r="N559" s="6">
        <v>4455740</v>
      </c>
      <c r="O559" s="6">
        <v>60</v>
      </c>
      <c r="P559" s="7">
        <v>4783.3976000000002</v>
      </c>
      <c r="Q559" s="7">
        <v>20113.457999999999</v>
      </c>
      <c r="R559" s="9">
        <f>D559*VLOOKUP(1001,적!$A$4:$D$13,3,FALSE)</f>
        <v>356384.16690800001</v>
      </c>
      <c r="S559" s="9">
        <f>D559*VLOOKUP(F559,보스!$A$4:$E$5,4,FALSE)</f>
        <v>12829830.008688001</v>
      </c>
    </row>
    <row r="560" spans="1:19" ht="21.95" customHeight="1">
      <c r="A560" s="6">
        <v>5557</v>
      </c>
      <c r="B560" s="2" t="s">
        <v>708</v>
      </c>
      <c r="C560" s="6">
        <v>557</v>
      </c>
      <c r="D560" s="7">
        <v>179102.78324736</v>
      </c>
      <c r="E560" s="2" t="s">
        <v>152</v>
      </c>
      <c r="F560" s="6">
        <v>2001</v>
      </c>
      <c r="G560" s="6">
        <v>5</v>
      </c>
      <c r="H560" s="7">
        <v>30</v>
      </c>
      <c r="I560" s="6">
        <v>5</v>
      </c>
      <c r="J560" s="6">
        <v>2</v>
      </c>
      <c r="K560" s="6">
        <v>1</v>
      </c>
      <c r="L560" s="6">
        <v>15</v>
      </c>
      <c r="M560" s="6">
        <v>223193</v>
      </c>
      <c r="N560" s="6">
        <v>4463860</v>
      </c>
      <c r="O560" s="6">
        <v>60</v>
      </c>
      <c r="P560" s="7">
        <v>4798.8644400000003</v>
      </c>
      <c r="Q560" s="7">
        <v>20178.491099999999</v>
      </c>
      <c r="R560" s="9">
        <f>D560*VLOOKUP(1001,적!$A$4:$D$13,3,FALSE)</f>
        <v>358205.56649472</v>
      </c>
      <c r="S560" s="9">
        <f>D560*VLOOKUP(F560,보스!$A$4:$E$5,4,FALSE)</f>
        <v>12895400.39380992</v>
      </c>
    </row>
    <row r="561" spans="1:19" ht="21.95" customHeight="1">
      <c r="A561" s="6">
        <v>5558</v>
      </c>
      <c r="B561" s="2" t="s">
        <v>709</v>
      </c>
      <c r="C561" s="6">
        <v>558</v>
      </c>
      <c r="D561" s="7">
        <v>180017.09020879999</v>
      </c>
      <c r="E561" s="2" t="s">
        <v>152</v>
      </c>
      <c r="F561" s="6">
        <v>2002</v>
      </c>
      <c r="G561" s="6">
        <v>5</v>
      </c>
      <c r="H561" s="7">
        <v>30</v>
      </c>
      <c r="I561" s="6">
        <v>5</v>
      </c>
      <c r="J561" s="6">
        <v>2</v>
      </c>
      <c r="K561" s="6">
        <v>1</v>
      </c>
      <c r="L561" s="6">
        <v>15</v>
      </c>
      <c r="M561" s="6">
        <v>223599</v>
      </c>
      <c r="N561" s="6">
        <v>4471980</v>
      </c>
      <c r="O561" s="6">
        <v>60</v>
      </c>
      <c r="P561" s="7">
        <v>4814.35592</v>
      </c>
      <c r="Q561" s="7">
        <v>20243.627799999998</v>
      </c>
      <c r="R561" s="9">
        <f>D561*VLOOKUP(1001,적!$A$4:$D$13,3,FALSE)</f>
        <v>360034.18041759997</v>
      </c>
      <c r="S561" s="9">
        <f>D561*VLOOKUP(F561,보스!$A$4:$E$5,4,FALSE)</f>
        <v>12961230.495033599</v>
      </c>
    </row>
    <row r="562" spans="1:19" ht="21.95" customHeight="1">
      <c r="A562" s="6">
        <v>5559</v>
      </c>
      <c r="B562" s="2" t="s">
        <v>710</v>
      </c>
      <c r="C562" s="6">
        <v>559</v>
      </c>
      <c r="D562" s="7">
        <v>180935.01475311999</v>
      </c>
      <c r="E562" s="2" t="s">
        <v>152</v>
      </c>
      <c r="F562" s="6">
        <v>2001</v>
      </c>
      <c r="G562" s="6">
        <v>5</v>
      </c>
      <c r="H562" s="7">
        <v>30</v>
      </c>
      <c r="I562" s="6">
        <v>5</v>
      </c>
      <c r="J562" s="6">
        <v>2</v>
      </c>
      <c r="K562" s="6">
        <v>1</v>
      </c>
      <c r="L562" s="6">
        <v>15</v>
      </c>
      <c r="M562" s="6">
        <v>224005</v>
      </c>
      <c r="N562" s="6">
        <v>4480100</v>
      </c>
      <c r="O562" s="6">
        <v>60</v>
      </c>
      <c r="P562" s="7">
        <v>4829.8720400000002</v>
      </c>
      <c r="Q562" s="7">
        <v>20308.8681</v>
      </c>
      <c r="R562" s="9">
        <f>D562*VLOOKUP(1001,적!$A$4:$D$13,3,FALSE)</f>
        <v>361870.02950623998</v>
      </c>
      <c r="S562" s="9">
        <f>D562*VLOOKUP(F562,보스!$A$4:$E$5,4,FALSE)</f>
        <v>13027321.06222464</v>
      </c>
    </row>
    <row r="563" spans="1:19" ht="21.95" customHeight="1">
      <c r="A563" s="6">
        <v>5560</v>
      </c>
      <c r="B563" s="2" t="s">
        <v>711</v>
      </c>
      <c r="C563" s="6">
        <v>560</v>
      </c>
      <c r="D563" s="7">
        <v>181856.5673124</v>
      </c>
      <c r="E563" s="2" t="s">
        <v>152</v>
      </c>
      <c r="F563" s="6">
        <v>2002</v>
      </c>
      <c r="G563" s="6">
        <v>5</v>
      </c>
      <c r="H563" s="7">
        <v>30</v>
      </c>
      <c r="I563" s="6">
        <v>5</v>
      </c>
      <c r="J563" s="6">
        <v>2</v>
      </c>
      <c r="K563" s="6">
        <v>1</v>
      </c>
      <c r="L563" s="6">
        <v>15</v>
      </c>
      <c r="M563" s="6">
        <v>224412</v>
      </c>
      <c r="N563" s="6">
        <v>4488240</v>
      </c>
      <c r="O563" s="6">
        <v>61</v>
      </c>
      <c r="P563" s="7">
        <v>4845.4128000000001</v>
      </c>
      <c r="Q563" s="7">
        <v>20374.212</v>
      </c>
      <c r="R563" s="9">
        <f>D563*VLOOKUP(1001,적!$A$4:$D$13,3,FALSE)</f>
        <v>363713.1346248</v>
      </c>
      <c r="S563" s="9">
        <f>D563*VLOOKUP(F563,보스!$A$4:$E$5,4,FALSE)</f>
        <v>13093672.846492801</v>
      </c>
    </row>
    <row r="564" spans="1:19" ht="21.95" customHeight="1">
      <c r="A564" s="6">
        <v>5561</v>
      </c>
      <c r="B564" s="2" t="s">
        <v>712</v>
      </c>
      <c r="C564" s="6">
        <v>561</v>
      </c>
      <c r="D564" s="7">
        <v>182781.758336</v>
      </c>
      <c r="E564" s="2" t="s">
        <v>152</v>
      </c>
      <c r="F564" s="6">
        <v>2001</v>
      </c>
      <c r="G564" s="6">
        <v>5</v>
      </c>
      <c r="H564" s="7">
        <v>30</v>
      </c>
      <c r="I564" s="6">
        <v>5</v>
      </c>
      <c r="J564" s="6">
        <v>2</v>
      </c>
      <c r="K564" s="6">
        <v>1</v>
      </c>
      <c r="L564" s="6">
        <v>15</v>
      </c>
      <c r="M564" s="6">
        <v>224818</v>
      </c>
      <c r="N564" s="6">
        <v>4496360</v>
      </c>
      <c r="O564" s="6">
        <v>61</v>
      </c>
      <c r="P564" s="7">
        <v>4860.9781999999996</v>
      </c>
      <c r="Q564" s="7">
        <v>20439.659500000002</v>
      </c>
      <c r="R564" s="9">
        <f>D564*VLOOKUP(1001,적!$A$4:$D$13,3,FALSE)</f>
        <v>365563.516672</v>
      </c>
      <c r="S564" s="9">
        <f>D564*VLOOKUP(F564,보스!$A$4:$E$5,4,FALSE)</f>
        <v>13160286.600191999</v>
      </c>
    </row>
    <row r="565" spans="1:19" ht="21.95" customHeight="1">
      <c r="A565" s="6">
        <v>5562</v>
      </c>
      <c r="B565" s="2" t="s">
        <v>713</v>
      </c>
      <c r="C565" s="6">
        <v>562</v>
      </c>
      <c r="D565" s="7">
        <v>183710.59829056001</v>
      </c>
      <c r="E565" s="2" t="s">
        <v>152</v>
      </c>
      <c r="F565" s="6">
        <v>2002</v>
      </c>
      <c r="G565" s="6">
        <v>5</v>
      </c>
      <c r="H565" s="7">
        <v>30</v>
      </c>
      <c r="I565" s="6">
        <v>5</v>
      </c>
      <c r="J565" s="6">
        <v>2</v>
      </c>
      <c r="K565" s="6">
        <v>1</v>
      </c>
      <c r="L565" s="6">
        <v>15</v>
      </c>
      <c r="M565" s="6">
        <v>225224</v>
      </c>
      <c r="N565" s="6">
        <v>4504480</v>
      </c>
      <c r="O565" s="6">
        <v>61</v>
      </c>
      <c r="P565" s="7">
        <v>4876.5682399999996</v>
      </c>
      <c r="Q565" s="7">
        <v>20505.210599999999</v>
      </c>
      <c r="R565" s="9">
        <f>D565*VLOOKUP(1001,적!$A$4:$D$13,3,FALSE)</f>
        <v>367421.19658112002</v>
      </c>
      <c r="S565" s="9">
        <f>D565*VLOOKUP(F565,보스!$A$4:$E$5,4,FALSE)</f>
        <v>13227163.076920321</v>
      </c>
    </row>
    <row r="566" spans="1:19" ht="21.95" customHeight="1">
      <c r="A566" s="6">
        <v>5563</v>
      </c>
      <c r="B566" s="2" t="s">
        <v>714</v>
      </c>
      <c r="C566" s="6">
        <v>563</v>
      </c>
      <c r="D566" s="7">
        <v>184643.09766</v>
      </c>
      <c r="E566" s="2" t="s">
        <v>152</v>
      </c>
      <c r="F566" s="6">
        <v>2001</v>
      </c>
      <c r="G566" s="6">
        <v>5</v>
      </c>
      <c r="H566" s="7">
        <v>30</v>
      </c>
      <c r="I566" s="6">
        <v>5</v>
      </c>
      <c r="J566" s="6">
        <v>2</v>
      </c>
      <c r="K566" s="6">
        <v>1</v>
      </c>
      <c r="L566" s="6">
        <v>15</v>
      </c>
      <c r="M566" s="6">
        <v>225630</v>
      </c>
      <c r="N566" s="6">
        <v>4512600</v>
      </c>
      <c r="O566" s="6">
        <v>61</v>
      </c>
      <c r="P566" s="7">
        <v>4892.1829200000002</v>
      </c>
      <c r="Q566" s="7">
        <v>20570.865300000001</v>
      </c>
      <c r="R566" s="9">
        <f>D566*VLOOKUP(1001,적!$A$4:$D$13,3,FALSE)</f>
        <v>369286.19532</v>
      </c>
      <c r="S566" s="9">
        <f>D566*VLOOKUP(F566,보스!$A$4:$E$5,4,FALSE)</f>
        <v>13294303.03152</v>
      </c>
    </row>
    <row r="567" spans="1:19" ht="21.95" customHeight="1">
      <c r="A567" s="6">
        <v>5564</v>
      </c>
      <c r="B567" s="2" t="s">
        <v>715</v>
      </c>
      <c r="C567" s="6">
        <v>564</v>
      </c>
      <c r="D567" s="7">
        <v>185579.26694552001</v>
      </c>
      <c r="E567" s="2" t="s">
        <v>152</v>
      </c>
      <c r="F567" s="6">
        <v>2002</v>
      </c>
      <c r="G567" s="6">
        <v>5</v>
      </c>
      <c r="H567" s="7">
        <v>30</v>
      </c>
      <c r="I567" s="6">
        <v>5</v>
      </c>
      <c r="J567" s="6">
        <v>2</v>
      </c>
      <c r="K567" s="6">
        <v>1</v>
      </c>
      <c r="L567" s="6">
        <v>15</v>
      </c>
      <c r="M567" s="6">
        <v>226037</v>
      </c>
      <c r="N567" s="6">
        <v>4520740</v>
      </c>
      <c r="O567" s="6">
        <v>61</v>
      </c>
      <c r="P567" s="7">
        <v>4907.8222400000004</v>
      </c>
      <c r="Q567" s="7">
        <v>20636.623599999999</v>
      </c>
      <c r="R567" s="9">
        <f>D567*VLOOKUP(1001,적!$A$4:$D$13,3,FALSE)</f>
        <v>371158.53389104002</v>
      </c>
      <c r="S567" s="9">
        <f>D567*VLOOKUP(F567,보스!$A$4:$E$5,4,FALSE)</f>
        <v>13361707.22007744</v>
      </c>
    </row>
    <row r="568" spans="1:19" ht="21.95" customHeight="1">
      <c r="A568" s="6">
        <v>5565</v>
      </c>
      <c r="B568" s="2" t="s">
        <v>716</v>
      </c>
      <c r="C568" s="6">
        <v>565</v>
      </c>
      <c r="D568" s="7">
        <v>186519.11666560001</v>
      </c>
      <c r="E568" s="2" t="s">
        <v>152</v>
      </c>
      <c r="F568" s="6">
        <v>2001</v>
      </c>
      <c r="G568" s="6">
        <v>5</v>
      </c>
      <c r="H568" s="7">
        <v>30</v>
      </c>
      <c r="I568" s="6">
        <v>5</v>
      </c>
      <c r="J568" s="6">
        <v>2</v>
      </c>
      <c r="K568" s="6">
        <v>1</v>
      </c>
      <c r="L568" s="6">
        <v>15</v>
      </c>
      <c r="M568" s="6">
        <v>226443</v>
      </c>
      <c r="N568" s="6">
        <v>4528860</v>
      </c>
      <c r="O568" s="6">
        <v>61</v>
      </c>
      <c r="P568" s="7">
        <v>4923.4862000000003</v>
      </c>
      <c r="Q568" s="7">
        <v>20702.485499999999</v>
      </c>
      <c r="R568" s="9">
        <f>D568*VLOOKUP(1001,적!$A$4:$D$13,3,FALSE)</f>
        <v>373038.23333120003</v>
      </c>
      <c r="S568" s="9">
        <f>D568*VLOOKUP(F568,보스!$A$4:$E$5,4,FALSE)</f>
        <v>13429376.399923202</v>
      </c>
    </row>
    <row r="569" spans="1:19" ht="21.95" customHeight="1">
      <c r="A569" s="6">
        <v>5566</v>
      </c>
      <c r="B569" s="2" t="s">
        <v>717</v>
      </c>
      <c r="C569" s="6">
        <v>566</v>
      </c>
      <c r="D569" s="7">
        <v>187462.65735600001</v>
      </c>
      <c r="E569" s="2" t="s">
        <v>152</v>
      </c>
      <c r="F569" s="6">
        <v>2002</v>
      </c>
      <c r="G569" s="6">
        <v>5</v>
      </c>
      <c r="H569" s="7">
        <v>30</v>
      </c>
      <c r="I569" s="6">
        <v>5</v>
      </c>
      <c r="J569" s="6">
        <v>2</v>
      </c>
      <c r="K569" s="6">
        <v>1</v>
      </c>
      <c r="L569" s="6">
        <v>15</v>
      </c>
      <c r="M569" s="6">
        <v>226849</v>
      </c>
      <c r="N569" s="6">
        <v>4536980</v>
      </c>
      <c r="O569" s="6">
        <v>61</v>
      </c>
      <c r="P569" s="7">
        <v>4939.1747999999998</v>
      </c>
      <c r="Q569" s="7">
        <v>20768.451000000001</v>
      </c>
      <c r="R569" s="9">
        <f>D569*VLOOKUP(1001,적!$A$4:$D$13,3,FALSE)</f>
        <v>374925.31471200002</v>
      </c>
      <c r="S569" s="9">
        <f>D569*VLOOKUP(F569,보스!$A$4:$E$5,4,FALSE)</f>
        <v>13497311.329632001</v>
      </c>
    </row>
    <row r="570" spans="1:19" ht="21.95" customHeight="1">
      <c r="A570" s="6">
        <v>5567</v>
      </c>
      <c r="B570" s="2" t="s">
        <v>718</v>
      </c>
      <c r="C570" s="6">
        <v>567</v>
      </c>
      <c r="D570" s="7">
        <v>188409.89956975999</v>
      </c>
      <c r="E570" s="2" t="s">
        <v>152</v>
      </c>
      <c r="F570" s="6">
        <v>2001</v>
      </c>
      <c r="G570" s="6">
        <v>5</v>
      </c>
      <c r="H570" s="7">
        <v>30</v>
      </c>
      <c r="I570" s="6">
        <v>5</v>
      </c>
      <c r="J570" s="6">
        <v>2</v>
      </c>
      <c r="K570" s="6">
        <v>1</v>
      </c>
      <c r="L570" s="6">
        <v>15</v>
      </c>
      <c r="M570" s="6">
        <v>227255</v>
      </c>
      <c r="N570" s="6">
        <v>4545100</v>
      </c>
      <c r="O570" s="6">
        <v>61</v>
      </c>
      <c r="P570" s="7">
        <v>4954.8880399999998</v>
      </c>
      <c r="Q570" s="7">
        <v>20834.520100000002</v>
      </c>
      <c r="R570" s="9">
        <f>D570*VLOOKUP(1001,적!$A$4:$D$13,3,FALSE)</f>
        <v>376819.79913951998</v>
      </c>
      <c r="S570" s="9">
        <f>D570*VLOOKUP(F570,보스!$A$4:$E$5,4,FALSE)</f>
        <v>13565512.76902272</v>
      </c>
    </row>
    <row r="571" spans="1:19" ht="21.95" customHeight="1">
      <c r="A571" s="6">
        <v>5568</v>
      </c>
      <c r="B571" s="2" t="s">
        <v>719</v>
      </c>
      <c r="C571" s="6">
        <v>568</v>
      </c>
      <c r="D571" s="7">
        <v>189360.85387719999</v>
      </c>
      <c r="E571" s="2" t="s">
        <v>152</v>
      </c>
      <c r="F571" s="6">
        <v>2002</v>
      </c>
      <c r="G571" s="6">
        <v>5</v>
      </c>
      <c r="H571" s="7">
        <v>30</v>
      </c>
      <c r="I571" s="6">
        <v>5</v>
      </c>
      <c r="J571" s="6">
        <v>2</v>
      </c>
      <c r="K571" s="6">
        <v>1</v>
      </c>
      <c r="L571" s="6">
        <v>15</v>
      </c>
      <c r="M571" s="6">
        <v>227661</v>
      </c>
      <c r="N571" s="6">
        <v>4553220</v>
      </c>
      <c r="O571" s="6">
        <v>61</v>
      </c>
      <c r="P571" s="7">
        <v>4970.6259200000004</v>
      </c>
      <c r="Q571" s="7">
        <v>20900.692800000001</v>
      </c>
      <c r="R571" s="9">
        <f>D571*VLOOKUP(1001,적!$A$4:$D$13,3,FALSE)</f>
        <v>378721.70775439998</v>
      </c>
      <c r="S571" s="9">
        <f>D571*VLOOKUP(F571,보스!$A$4:$E$5,4,FALSE)</f>
        <v>13633981.4791584</v>
      </c>
    </row>
    <row r="572" spans="1:19" ht="21.95" customHeight="1">
      <c r="A572" s="6">
        <v>5569</v>
      </c>
      <c r="B572" s="2" t="s">
        <v>720</v>
      </c>
      <c r="C572" s="6">
        <v>569</v>
      </c>
      <c r="D572" s="7">
        <v>190315.53086592001</v>
      </c>
      <c r="E572" s="2" t="s">
        <v>152</v>
      </c>
      <c r="F572" s="6">
        <v>2001</v>
      </c>
      <c r="G572" s="6">
        <v>5</v>
      </c>
      <c r="H572" s="7">
        <v>30</v>
      </c>
      <c r="I572" s="6">
        <v>5</v>
      </c>
      <c r="J572" s="6">
        <v>2</v>
      </c>
      <c r="K572" s="6">
        <v>1</v>
      </c>
      <c r="L572" s="6">
        <v>15</v>
      </c>
      <c r="M572" s="6">
        <v>228068</v>
      </c>
      <c r="N572" s="6">
        <v>4561360</v>
      </c>
      <c r="O572" s="6">
        <v>61</v>
      </c>
      <c r="P572" s="7">
        <v>4986.3884399999997</v>
      </c>
      <c r="Q572" s="7">
        <v>20966.969099999998</v>
      </c>
      <c r="R572" s="9">
        <f>D572*VLOOKUP(1001,적!$A$4:$D$13,3,FALSE)</f>
        <v>380631.06173184002</v>
      </c>
      <c r="S572" s="9">
        <f>D572*VLOOKUP(F572,보스!$A$4:$E$5,4,FALSE)</f>
        <v>13702718.222346241</v>
      </c>
    </row>
    <row r="573" spans="1:19" ht="21.95" customHeight="1">
      <c r="A573" s="6">
        <v>5570</v>
      </c>
      <c r="B573" s="2" t="s">
        <v>721</v>
      </c>
      <c r="C573" s="6">
        <v>570</v>
      </c>
      <c r="D573" s="7">
        <v>191273.94114079999</v>
      </c>
      <c r="E573" s="2" t="s">
        <v>152</v>
      </c>
      <c r="F573" s="6">
        <v>2002</v>
      </c>
      <c r="G573" s="6">
        <v>5</v>
      </c>
      <c r="H573" s="7">
        <v>30</v>
      </c>
      <c r="I573" s="6">
        <v>5</v>
      </c>
      <c r="J573" s="6">
        <v>2</v>
      </c>
      <c r="K573" s="6">
        <v>1</v>
      </c>
      <c r="L573" s="6">
        <v>15</v>
      </c>
      <c r="M573" s="6">
        <v>228474</v>
      </c>
      <c r="N573" s="6">
        <v>4569480</v>
      </c>
      <c r="O573" s="6">
        <v>62</v>
      </c>
      <c r="P573" s="7">
        <v>5002.1755999999996</v>
      </c>
      <c r="Q573" s="7">
        <v>21033.348999999998</v>
      </c>
      <c r="R573" s="9">
        <f>D573*VLOOKUP(1001,적!$A$4:$D$13,3,FALSE)</f>
        <v>382547.88228159997</v>
      </c>
      <c r="S573" s="9">
        <f>D573*VLOOKUP(F573,보스!$A$4:$E$5,4,FALSE)</f>
        <v>13771723.762137599</v>
      </c>
    </row>
    <row r="574" spans="1:19" ht="21.95" customHeight="1">
      <c r="A574" s="6">
        <v>5571</v>
      </c>
      <c r="B574" s="2" t="s">
        <v>722</v>
      </c>
      <c r="C574" s="6">
        <v>571</v>
      </c>
      <c r="D574" s="7">
        <v>192236.09532399999</v>
      </c>
      <c r="E574" s="2" t="s">
        <v>152</v>
      </c>
      <c r="F574" s="6">
        <v>2001</v>
      </c>
      <c r="G574" s="6">
        <v>5</v>
      </c>
      <c r="H574" s="7">
        <v>30</v>
      </c>
      <c r="I574" s="6">
        <v>5</v>
      </c>
      <c r="J574" s="6">
        <v>2</v>
      </c>
      <c r="K574" s="6">
        <v>1</v>
      </c>
      <c r="L574" s="6">
        <v>15</v>
      </c>
      <c r="M574" s="6">
        <v>228880</v>
      </c>
      <c r="N574" s="6">
        <v>4577600</v>
      </c>
      <c r="O574" s="6">
        <v>62</v>
      </c>
      <c r="P574" s="7">
        <v>5017.9874</v>
      </c>
      <c r="Q574" s="7">
        <v>21099.8325</v>
      </c>
      <c r="R574" s="9">
        <f>D574*VLOOKUP(1001,적!$A$4:$D$13,3,FALSE)</f>
        <v>384472.19064799999</v>
      </c>
      <c r="S574" s="9">
        <f>D574*VLOOKUP(F574,보스!$A$4:$E$5,4,FALSE)</f>
        <v>13840998.863327999</v>
      </c>
    </row>
    <row r="575" spans="1:19" ht="21.95" customHeight="1">
      <c r="A575" s="6">
        <v>5572</v>
      </c>
      <c r="B575" s="2" t="s">
        <v>723</v>
      </c>
      <c r="C575" s="6">
        <v>572</v>
      </c>
      <c r="D575" s="7">
        <v>193202.00405496001</v>
      </c>
      <c r="E575" s="2" t="s">
        <v>152</v>
      </c>
      <c r="F575" s="6">
        <v>2002</v>
      </c>
      <c r="G575" s="6">
        <v>5</v>
      </c>
      <c r="H575" s="7">
        <v>30</v>
      </c>
      <c r="I575" s="6">
        <v>5</v>
      </c>
      <c r="J575" s="6">
        <v>2</v>
      </c>
      <c r="K575" s="6">
        <v>1</v>
      </c>
      <c r="L575" s="6">
        <v>15</v>
      </c>
      <c r="M575" s="6">
        <v>229286</v>
      </c>
      <c r="N575" s="6">
        <v>4585720</v>
      </c>
      <c r="O575" s="6">
        <v>62</v>
      </c>
      <c r="P575" s="7">
        <v>5033.82384</v>
      </c>
      <c r="Q575" s="7">
        <v>21166.419600000001</v>
      </c>
      <c r="R575" s="9">
        <f>D575*VLOOKUP(1001,적!$A$4:$D$13,3,FALSE)</f>
        <v>386404.00810992002</v>
      </c>
      <c r="S575" s="9">
        <f>D575*VLOOKUP(F575,보스!$A$4:$E$5,4,FALSE)</f>
        <v>13910544.291957121</v>
      </c>
    </row>
    <row r="576" spans="1:19" ht="21.95" customHeight="1">
      <c r="A576" s="6">
        <v>5573</v>
      </c>
      <c r="B576" s="2" t="s">
        <v>724</v>
      </c>
      <c r="C576" s="6">
        <v>573</v>
      </c>
      <c r="D576" s="7">
        <v>194171.6779904</v>
      </c>
      <c r="E576" s="2" t="s">
        <v>152</v>
      </c>
      <c r="F576" s="6">
        <v>2001</v>
      </c>
      <c r="G576" s="6">
        <v>5</v>
      </c>
      <c r="H576" s="7">
        <v>30</v>
      </c>
      <c r="I576" s="6">
        <v>5</v>
      </c>
      <c r="J576" s="6">
        <v>2</v>
      </c>
      <c r="K576" s="6">
        <v>1</v>
      </c>
      <c r="L576" s="6">
        <v>15</v>
      </c>
      <c r="M576" s="6">
        <v>229692</v>
      </c>
      <c r="N576" s="6">
        <v>4593840</v>
      </c>
      <c r="O576" s="6">
        <v>62</v>
      </c>
      <c r="P576" s="7">
        <v>5049.6849199999997</v>
      </c>
      <c r="Q576" s="7">
        <v>21233.1103</v>
      </c>
      <c r="R576" s="9">
        <f>D576*VLOOKUP(1001,적!$A$4:$D$13,3,FALSE)</f>
        <v>388343.3559808</v>
      </c>
      <c r="S576" s="9">
        <f>D576*VLOOKUP(F576,보스!$A$4:$E$5,4,FALSE)</f>
        <v>13980360.8153088</v>
      </c>
    </row>
    <row r="577" spans="1:19" ht="21.95" customHeight="1">
      <c r="A577" s="6">
        <v>5574</v>
      </c>
      <c r="B577" s="2" t="s">
        <v>725</v>
      </c>
      <c r="C577" s="6">
        <v>574</v>
      </c>
      <c r="D577" s="7">
        <v>195145.12780432001</v>
      </c>
      <c r="E577" s="2" t="s">
        <v>152</v>
      </c>
      <c r="F577" s="6">
        <v>2002</v>
      </c>
      <c r="G577" s="6">
        <v>5</v>
      </c>
      <c r="H577" s="7">
        <v>30</v>
      </c>
      <c r="I577" s="6">
        <v>5</v>
      </c>
      <c r="J577" s="6">
        <v>2</v>
      </c>
      <c r="K577" s="6">
        <v>1</v>
      </c>
      <c r="L577" s="6">
        <v>15</v>
      </c>
      <c r="M577" s="6">
        <v>230099</v>
      </c>
      <c r="N577" s="6">
        <v>4601980</v>
      </c>
      <c r="O577" s="6">
        <v>62</v>
      </c>
      <c r="P577" s="7">
        <v>5065.5706399999999</v>
      </c>
      <c r="Q577" s="7">
        <v>21299.904600000002</v>
      </c>
      <c r="R577" s="9">
        <f>D577*VLOOKUP(1001,적!$A$4:$D$13,3,FALSE)</f>
        <v>390290.25560864003</v>
      </c>
      <c r="S577" s="9">
        <f>D577*VLOOKUP(F577,보스!$A$4:$E$5,4,FALSE)</f>
        <v>14050449.201911042</v>
      </c>
    </row>
    <row r="578" spans="1:19" ht="21.95" customHeight="1">
      <c r="A578" s="6">
        <v>5575</v>
      </c>
      <c r="B578" s="2" t="s">
        <v>726</v>
      </c>
      <c r="C578" s="6">
        <v>575</v>
      </c>
      <c r="D578" s="7">
        <v>196122.36418800001</v>
      </c>
      <c r="E578" s="2" t="s">
        <v>152</v>
      </c>
      <c r="F578" s="6">
        <v>2001</v>
      </c>
      <c r="G578" s="6">
        <v>5</v>
      </c>
      <c r="H578" s="7">
        <v>30</v>
      </c>
      <c r="I578" s="6">
        <v>5</v>
      </c>
      <c r="J578" s="6">
        <v>2</v>
      </c>
      <c r="K578" s="6">
        <v>1</v>
      </c>
      <c r="L578" s="6">
        <v>15</v>
      </c>
      <c r="M578" s="6">
        <v>230505</v>
      </c>
      <c r="N578" s="6">
        <v>4610100</v>
      </c>
      <c r="O578" s="6">
        <v>62</v>
      </c>
      <c r="P578" s="7">
        <v>5081.4809999999998</v>
      </c>
      <c r="Q578" s="7">
        <v>21366.802500000002</v>
      </c>
      <c r="R578" s="9">
        <f>D578*VLOOKUP(1001,적!$A$4:$D$13,3,FALSE)</f>
        <v>392244.72837600001</v>
      </c>
      <c r="S578" s="9">
        <f>D578*VLOOKUP(F578,보스!$A$4:$E$5,4,FALSE)</f>
        <v>14120810.221536001</v>
      </c>
    </row>
    <row r="579" spans="1:19" ht="21.95" customHeight="1">
      <c r="A579" s="6">
        <v>5576</v>
      </c>
      <c r="B579" s="2" t="s">
        <v>727</v>
      </c>
      <c r="C579" s="6">
        <v>576</v>
      </c>
      <c r="D579" s="7">
        <v>197103.39785000001</v>
      </c>
      <c r="E579" s="2" t="s">
        <v>152</v>
      </c>
      <c r="F579" s="6">
        <v>2002</v>
      </c>
      <c r="G579" s="6">
        <v>5</v>
      </c>
      <c r="H579" s="7">
        <v>30</v>
      </c>
      <c r="I579" s="6">
        <v>5</v>
      </c>
      <c r="J579" s="6">
        <v>2</v>
      </c>
      <c r="K579" s="6">
        <v>1</v>
      </c>
      <c r="L579" s="6">
        <v>15</v>
      </c>
      <c r="M579" s="6">
        <v>230911</v>
      </c>
      <c r="N579" s="6">
        <v>4618220</v>
      </c>
      <c r="O579" s="6">
        <v>62</v>
      </c>
      <c r="P579" s="7">
        <v>5097.4160000000002</v>
      </c>
      <c r="Q579" s="7">
        <v>21433.804</v>
      </c>
      <c r="R579" s="9">
        <f>D579*VLOOKUP(1001,적!$A$4:$D$13,3,FALSE)</f>
        <v>394206.79570000002</v>
      </c>
      <c r="S579" s="9">
        <f>D579*VLOOKUP(F579,보스!$A$4:$E$5,4,FALSE)</f>
        <v>14191444.645200001</v>
      </c>
    </row>
    <row r="580" spans="1:19" ht="21.95" customHeight="1">
      <c r="A580" s="6">
        <v>5577</v>
      </c>
      <c r="B580" s="2" t="s">
        <v>728</v>
      </c>
      <c r="C580" s="6">
        <v>577</v>
      </c>
      <c r="D580" s="7">
        <v>198088.23951616001</v>
      </c>
      <c r="E580" s="2" t="s">
        <v>152</v>
      </c>
      <c r="F580" s="6">
        <v>2001</v>
      </c>
      <c r="G580" s="6">
        <v>5</v>
      </c>
      <c r="H580" s="7">
        <v>30</v>
      </c>
      <c r="I580" s="6">
        <v>5</v>
      </c>
      <c r="J580" s="6">
        <v>2</v>
      </c>
      <c r="K580" s="6">
        <v>1</v>
      </c>
      <c r="L580" s="6">
        <v>15</v>
      </c>
      <c r="M580" s="6">
        <v>231317</v>
      </c>
      <c r="N580" s="6">
        <v>4626340</v>
      </c>
      <c r="O580" s="6">
        <v>62</v>
      </c>
      <c r="P580" s="7">
        <v>5113.3756400000002</v>
      </c>
      <c r="Q580" s="7">
        <v>21500.909100000001</v>
      </c>
      <c r="R580" s="9">
        <f>D580*VLOOKUP(1001,적!$A$4:$D$13,3,FALSE)</f>
        <v>396176.47903232003</v>
      </c>
      <c r="S580" s="9">
        <f>D580*VLOOKUP(F580,보스!$A$4:$E$5,4,FALSE)</f>
        <v>14262353.245163521</v>
      </c>
    </row>
    <row r="581" spans="1:19" ht="21.95" customHeight="1">
      <c r="A581" s="6">
        <v>5578</v>
      </c>
      <c r="B581" s="2" t="s">
        <v>729</v>
      </c>
      <c r="C581" s="6">
        <v>578</v>
      </c>
      <c r="D581" s="7">
        <v>199076.89992960001</v>
      </c>
      <c r="E581" s="2" t="s">
        <v>152</v>
      </c>
      <c r="F581" s="6">
        <v>2002</v>
      </c>
      <c r="G581" s="6">
        <v>5</v>
      </c>
      <c r="H581" s="7">
        <v>30</v>
      </c>
      <c r="I581" s="6">
        <v>5</v>
      </c>
      <c r="J581" s="6">
        <v>2</v>
      </c>
      <c r="K581" s="6">
        <v>1</v>
      </c>
      <c r="L581" s="6">
        <v>15</v>
      </c>
      <c r="M581" s="6">
        <v>231723</v>
      </c>
      <c r="N581" s="6">
        <v>4634460</v>
      </c>
      <c r="O581" s="6">
        <v>62</v>
      </c>
      <c r="P581" s="7">
        <v>5129.3599199999999</v>
      </c>
      <c r="Q581" s="7">
        <v>21568.1178</v>
      </c>
      <c r="R581" s="9">
        <f>D581*VLOOKUP(1001,적!$A$4:$D$13,3,FALSE)</f>
        <v>398153.79985920002</v>
      </c>
      <c r="S581" s="9">
        <f>D581*VLOOKUP(F581,보스!$A$4:$E$5,4,FALSE)</f>
        <v>14333536.794931201</v>
      </c>
    </row>
    <row r="582" spans="1:19" ht="21.95" customHeight="1">
      <c r="A582" s="6">
        <v>5579</v>
      </c>
      <c r="B582" s="2" t="s">
        <v>730</v>
      </c>
      <c r="C582" s="6">
        <v>579</v>
      </c>
      <c r="D582" s="7">
        <v>200069.38985072001</v>
      </c>
      <c r="E582" s="2" t="s">
        <v>152</v>
      </c>
      <c r="F582" s="6">
        <v>2001</v>
      </c>
      <c r="G582" s="6">
        <v>5</v>
      </c>
      <c r="H582" s="7">
        <v>30</v>
      </c>
      <c r="I582" s="6">
        <v>5</v>
      </c>
      <c r="J582" s="6">
        <v>2</v>
      </c>
      <c r="K582" s="6">
        <v>1</v>
      </c>
      <c r="L582" s="6">
        <v>15</v>
      </c>
      <c r="M582" s="6">
        <v>232130</v>
      </c>
      <c r="N582" s="6">
        <v>4642600</v>
      </c>
      <c r="O582" s="6">
        <v>62</v>
      </c>
      <c r="P582" s="7">
        <v>5145.3688400000001</v>
      </c>
      <c r="Q582" s="7">
        <v>21635.430100000001</v>
      </c>
      <c r="R582" s="9">
        <f>D582*VLOOKUP(1001,적!$A$4:$D$13,3,FALSE)</f>
        <v>400138.77970144001</v>
      </c>
      <c r="S582" s="9">
        <f>D582*VLOOKUP(F582,보스!$A$4:$E$5,4,FALSE)</f>
        <v>14404996.069251841</v>
      </c>
    </row>
    <row r="583" spans="1:19" ht="21.95" customHeight="1">
      <c r="A583" s="6">
        <v>5580</v>
      </c>
      <c r="B583" s="2" t="s">
        <v>731</v>
      </c>
      <c r="C583" s="6">
        <v>580</v>
      </c>
      <c r="D583" s="7">
        <v>201065.7200572</v>
      </c>
      <c r="E583" s="2" t="s">
        <v>152</v>
      </c>
      <c r="F583" s="6">
        <v>2002</v>
      </c>
      <c r="G583" s="6">
        <v>5</v>
      </c>
      <c r="H583" s="7">
        <v>30</v>
      </c>
      <c r="I583" s="6">
        <v>5</v>
      </c>
      <c r="J583" s="6">
        <v>2</v>
      </c>
      <c r="K583" s="6">
        <v>1</v>
      </c>
      <c r="L583" s="6">
        <v>15</v>
      </c>
      <c r="M583" s="6">
        <v>232536</v>
      </c>
      <c r="N583" s="6">
        <v>4650720</v>
      </c>
      <c r="O583" s="6">
        <v>63</v>
      </c>
      <c r="P583" s="7">
        <v>5161.4023999999999</v>
      </c>
      <c r="Q583" s="7">
        <v>21702.846000000001</v>
      </c>
      <c r="R583" s="9">
        <f>D583*VLOOKUP(1001,적!$A$4:$D$13,3,FALSE)</f>
        <v>402131.4401144</v>
      </c>
      <c r="S583" s="9">
        <f>D583*VLOOKUP(F583,보스!$A$4:$E$5,4,FALSE)</f>
        <v>14476731.8441184</v>
      </c>
    </row>
    <row r="584" spans="1:19" ht="21.95" customHeight="1">
      <c r="A584" s="6">
        <v>5581</v>
      </c>
      <c r="B584" s="2" t="s">
        <v>732</v>
      </c>
      <c r="C584" s="6">
        <v>581</v>
      </c>
      <c r="D584" s="7">
        <v>202065.90134400001</v>
      </c>
      <c r="E584" s="2" t="s">
        <v>152</v>
      </c>
      <c r="F584" s="6">
        <v>2001</v>
      </c>
      <c r="G584" s="6">
        <v>5</v>
      </c>
      <c r="H584" s="7">
        <v>30</v>
      </c>
      <c r="I584" s="6">
        <v>5</v>
      </c>
      <c r="J584" s="6">
        <v>2</v>
      </c>
      <c r="K584" s="6">
        <v>1</v>
      </c>
      <c r="L584" s="6">
        <v>15</v>
      </c>
      <c r="M584" s="6">
        <v>232942</v>
      </c>
      <c r="N584" s="6">
        <v>4658840</v>
      </c>
      <c r="O584" s="6">
        <v>63</v>
      </c>
      <c r="P584" s="7">
        <v>5177.4606000000003</v>
      </c>
      <c r="Q584" s="7">
        <v>21770.3655</v>
      </c>
      <c r="R584" s="9">
        <f>D584*VLOOKUP(1001,적!$A$4:$D$13,3,FALSE)</f>
        <v>404131.80268800003</v>
      </c>
      <c r="S584" s="9">
        <f>D584*VLOOKUP(F584,보스!$A$4:$E$5,4,FALSE)</f>
        <v>14548744.896768</v>
      </c>
    </row>
    <row r="585" spans="1:19" ht="21.95" customHeight="1">
      <c r="A585" s="6">
        <v>5582</v>
      </c>
      <c r="B585" s="2" t="s">
        <v>733</v>
      </c>
      <c r="C585" s="6">
        <v>582</v>
      </c>
      <c r="D585" s="7">
        <v>203069.94452336</v>
      </c>
      <c r="E585" s="2" t="s">
        <v>152</v>
      </c>
      <c r="F585" s="6">
        <v>2002</v>
      </c>
      <c r="G585" s="6">
        <v>5</v>
      </c>
      <c r="H585" s="7">
        <v>30</v>
      </c>
      <c r="I585" s="6">
        <v>5</v>
      </c>
      <c r="J585" s="6">
        <v>2</v>
      </c>
      <c r="K585" s="6">
        <v>1</v>
      </c>
      <c r="L585" s="6">
        <v>15</v>
      </c>
      <c r="M585" s="6">
        <v>233348</v>
      </c>
      <c r="N585" s="6">
        <v>4666960</v>
      </c>
      <c r="O585" s="6">
        <v>63</v>
      </c>
      <c r="P585" s="7">
        <v>5193.5434400000004</v>
      </c>
      <c r="Q585" s="7">
        <v>21837.988600000001</v>
      </c>
      <c r="R585" s="9">
        <f>D585*VLOOKUP(1001,적!$A$4:$D$13,3,FALSE)</f>
        <v>406139.88904672</v>
      </c>
      <c r="S585" s="9">
        <f>D585*VLOOKUP(F585,보스!$A$4:$E$5,4,FALSE)</f>
        <v>14621036.005681921</v>
      </c>
    </row>
    <row r="586" spans="1:19" ht="21.95" customHeight="1">
      <c r="A586" s="6">
        <v>5583</v>
      </c>
      <c r="B586" s="2" t="s">
        <v>734</v>
      </c>
      <c r="C586" s="6">
        <v>583</v>
      </c>
      <c r="D586" s="7">
        <v>204077.86042479999</v>
      </c>
      <c r="E586" s="2" t="s">
        <v>152</v>
      </c>
      <c r="F586" s="6">
        <v>2001</v>
      </c>
      <c r="G586" s="6">
        <v>5</v>
      </c>
      <c r="H586" s="7">
        <v>30</v>
      </c>
      <c r="I586" s="6">
        <v>5</v>
      </c>
      <c r="J586" s="6">
        <v>2</v>
      </c>
      <c r="K586" s="6">
        <v>1</v>
      </c>
      <c r="L586" s="6">
        <v>15</v>
      </c>
      <c r="M586" s="6">
        <v>233754</v>
      </c>
      <c r="N586" s="6">
        <v>4675080</v>
      </c>
      <c r="O586" s="6">
        <v>63</v>
      </c>
      <c r="P586" s="7">
        <v>5209.65092</v>
      </c>
      <c r="Q586" s="7">
        <v>21905.7153</v>
      </c>
      <c r="R586" s="9">
        <f>D586*VLOOKUP(1001,적!$A$4:$D$13,3,FALSE)</f>
        <v>408155.72084959998</v>
      </c>
      <c r="S586" s="9">
        <f>D586*VLOOKUP(F586,보스!$A$4:$E$5,4,FALSE)</f>
        <v>14693605.9505856</v>
      </c>
    </row>
    <row r="587" spans="1:19" ht="21.95" customHeight="1">
      <c r="A587" s="6">
        <v>5584</v>
      </c>
      <c r="B587" s="2" t="s">
        <v>735</v>
      </c>
      <c r="C587" s="6">
        <v>584</v>
      </c>
      <c r="D587" s="7">
        <v>205089.65989512001</v>
      </c>
      <c r="E587" s="2" t="s">
        <v>152</v>
      </c>
      <c r="F587" s="6">
        <v>2002</v>
      </c>
      <c r="G587" s="6">
        <v>5</v>
      </c>
      <c r="H587" s="7">
        <v>30</v>
      </c>
      <c r="I587" s="6">
        <v>5</v>
      </c>
      <c r="J587" s="6">
        <v>2</v>
      </c>
      <c r="K587" s="6">
        <v>1</v>
      </c>
      <c r="L587" s="6">
        <v>15</v>
      </c>
      <c r="M587" s="6">
        <v>234161</v>
      </c>
      <c r="N587" s="6">
        <v>4683220</v>
      </c>
      <c r="O587" s="6">
        <v>63</v>
      </c>
      <c r="P587" s="7">
        <v>5225.7830400000003</v>
      </c>
      <c r="Q587" s="7">
        <v>21973.545600000001</v>
      </c>
      <c r="R587" s="9">
        <f>D587*VLOOKUP(1001,적!$A$4:$D$13,3,FALSE)</f>
        <v>410179.31979024003</v>
      </c>
      <c r="S587" s="9">
        <f>D587*VLOOKUP(F587,보스!$A$4:$E$5,4,FALSE)</f>
        <v>14766455.512448641</v>
      </c>
    </row>
    <row r="588" spans="1:19" ht="21.95" customHeight="1">
      <c r="A588" s="6">
        <v>5585</v>
      </c>
      <c r="B588" s="2" t="s">
        <v>736</v>
      </c>
      <c r="C588" s="6">
        <v>585</v>
      </c>
      <c r="D588" s="7">
        <v>206105.3537984</v>
      </c>
      <c r="E588" s="2" t="s">
        <v>152</v>
      </c>
      <c r="F588" s="6">
        <v>2001</v>
      </c>
      <c r="G588" s="6">
        <v>5</v>
      </c>
      <c r="H588" s="7">
        <v>30</v>
      </c>
      <c r="I588" s="6">
        <v>5</v>
      </c>
      <c r="J588" s="6">
        <v>2</v>
      </c>
      <c r="K588" s="6">
        <v>1</v>
      </c>
      <c r="L588" s="6">
        <v>15</v>
      </c>
      <c r="M588" s="6">
        <v>234567</v>
      </c>
      <c r="N588" s="6">
        <v>4691340</v>
      </c>
      <c r="O588" s="6">
        <v>63</v>
      </c>
      <c r="P588" s="7">
        <v>5241.9398000000001</v>
      </c>
      <c r="Q588" s="7">
        <v>22041.479500000001</v>
      </c>
      <c r="R588" s="9">
        <f>D588*VLOOKUP(1001,적!$A$4:$D$13,3,FALSE)</f>
        <v>412210.7075968</v>
      </c>
      <c r="S588" s="9">
        <f>D588*VLOOKUP(F588,보스!$A$4:$E$5,4,FALSE)</f>
        <v>14839585.473484799</v>
      </c>
    </row>
    <row r="589" spans="1:19" ht="21.95" customHeight="1">
      <c r="A589" s="6">
        <v>5586</v>
      </c>
      <c r="B589" s="2" t="s">
        <v>737</v>
      </c>
      <c r="C589" s="6">
        <v>586</v>
      </c>
      <c r="D589" s="7">
        <v>207124.95301600001</v>
      </c>
      <c r="E589" s="2" t="s">
        <v>152</v>
      </c>
      <c r="F589" s="6">
        <v>2002</v>
      </c>
      <c r="G589" s="6">
        <v>5</v>
      </c>
      <c r="H589" s="7">
        <v>30</v>
      </c>
      <c r="I589" s="6">
        <v>5</v>
      </c>
      <c r="J589" s="6">
        <v>2</v>
      </c>
      <c r="K589" s="6">
        <v>1</v>
      </c>
      <c r="L589" s="6">
        <v>15</v>
      </c>
      <c r="M589" s="6">
        <v>234973</v>
      </c>
      <c r="N589" s="6">
        <v>4699460</v>
      </c>
      <c r="O589" s="6">
        <v>63</v>
      </c>
      <c r="P589" s="7">
        <v>5258.1211999999996</v>
      </c>
      <c r="Q589" s="7">
        <v>22109.517</v>
      </c>
      <c r="R589" s="9">
        <f>D589*VLOOKUP(1001,적!$A$4:$D$13,3,FALSE)</f>
        <v>414249.90603200003</v>
      </c>
      <c r="S589" s="9">
        <f>D589*VLOOKUP(F589,보스!$A$4:$E$5,4,FALSE)</f>
        <v>14912996.617152002</v>
      </c>
    </row>
    <row r="590" spans="1:19" ht="21.95" customHeight="1">
      <c r="A590" s="6">
        <v>5587</v>
      </c>
      <c r="B590" s="2" t="s">
        <v>738</v>
      </c>
      <c r="C590" s="6">
        <v>587</v>
      </c>
      <c r="D590" s="7">
        <v>208148.46844656</v>
      </c>
      <c r="E590" s="2" t="s">
        <v>152</v>
      </c>
      <c r="F590" s="6">
        <v>2001</v>
      </c>
      <c r="G590" s="6">
        <v>5</v>
      </c>
      <c r="H590" s="7">
        <v>30</v>
      </c>
      <c r="I590" s="6">
        <v>5</v>
      </c>
      <c r="J590" s="6">
        <v>2</v>
      </c>
      <c r="K590" s="6">
        <v>1</v>
      </c>
      <c r="L590" s="6">
        <v>15</v>
      </c>
      <c r="M590" s="6">
        <v>235379</v>
      </c>
      <c r="N590" s="6">
        <v>4707580</v>
      </c>
      <c r="O590" s="6">
        <v>63</v>
      </c>
      <c r="P590" s="7">
        <v>5274.3272399999996</v>
      </c>
      <c r="Q590" s="7">
        <v>22177.658100000001</v>
      </c>
      <c r="R590" s="9">
        <f>D590*VLOOKUP(1001,적!$A$4:$D$13,3,FALSE)</f>
        <v>416296.93689312</v>
      </c>
      <c r="S590" s="9">
        <f>D590*VLOOKUP(F590,보스!$A$4:$E$5,4,FALSE)</f>
        <v>14986689.72815232</v>
      </c>
    </row>
    <row r="591" spans="1:19" ht="21.95" customHeight="1">
      <c r="A591" s="6">
        <v>5588</v>
      </c>
      <c r="B591" s="2" t="s">
        <v>739</v>
      </c>
      <c r="C591" s="6">
        <v>588</v>
      </c>
      <c r="D591" s="7">
        <v>209175.91100600001</v>
      </c>
      <c r="E591" s="2" t="s">
        <v>152</v>
      </c>
      <c r="F591" s="6">
        <v>2002</v>
      </c>
      <c r="G591" s="6">
        <v>5</v>
      </c>
      <c r="H591" s="7">
        <v>30</v>
      </c>
      <c r="I591" s="6">
        <v>5</v>
      </c>
      <c r="J591" s="6">
        <v>2</v>
      </c>
      <c r="K591" s="6">
        <v>1</v>
      </c>
      <c r="L591" s="6">
        <v>15</v>
      </c>
      <c r="M591" s="6">
        <v>235785</v>
      </c>
      <c r="N591" s="6">
        <v>4715700</v>
      </c>
      <c r="O591" s="6">
        <v>63</v>
      </c>
      <c r="P591" s="7">
        <v>5290.5579200000002</v>
      </c>
      <c r="Q591" s="7">
        <v>22245.9028</v>
      </c>
      <c r="R591" s="9">
        <f>D591*VLOOKUP(1001,적!$A$4:$D$13,3,FALSE)</f>
        <v>418351.82201200002</v>
      </c>
      <c r="S591" s="9">
        <f>D591*VLOOKUP(F591,보스!$A$4:$E$5,4,FALSE)</f>
        <v>15060665.592432</v>
      </c>
    </row>
    <row r="592" spans="1:19" ht="21.95" customHeight="1">
      <c r="A592" s="6">
        <v>5589</v>
      </c>
      <c r="B592" s="2" t="s">
        <v>740</v>
      </c>
      <c r="C592" s="6">
        <v>589</v>
      </c>
      <c r="D592" s="7">
        <v>210207.29162752</v>
      </c>
      <c r="E592" s="2" t="s">
        <v>152</v>
      </c>
      <c r="F592" s="6">
        <v>2001</v>
      </c>
      <c r="G592" s="6">
        <v>5</v>
      </c>
      <c r="H592" s="7">
        <v>30</v>
      </c>
      <c r="I592" s="6">
        <v>5</v>
      </c>
      <c r="J592" s="6">
        <v>2</v>
      </c>
      <c r="K592" s="6">
        <v>1</v>
      </c>
      <c r="L592" s="6">
        <v>15</v>
      </c>
      <c r="M592" s="6">
        <v>236192</v>
      </c>
      <c r="N592" s="6">
        <v>4723840</v>
      </c>
      <c r="O592" s="6">
        <v>63</v>
      </c>
      <c r="P592" s="7">
        <v>5306.8132400000004</v>
      </c>
      <c r="Q592" s="7">
        <v>22314.251100000001</v>
      </c>
      <c r="R592" s="9">
        <f>D592*VLOOKUP(1001,적!$A$4:$D$13,3,FALSE)</f>
        <v>420414.58325503999</v>
      </c>
      <c r="S592" s="9">
        <f>D592*VLOOKUP(F592,보스!$A$4:$E$5,4,FALSE)</f>
        <v>15134924.99718144</v>
      </c>
    </row>
    <row r="593" spans="1:19" ht="21.95" customHeight="1">
      <c r="A593" s="6">
        <v>5590</v>
      </c>
      <c r="B593" s="2" t="s">
        <v>741</v>
      </c>
      <c r="C593" s="6">
        <v>590</v>
      </c>
      <c r="D593" s="7">
        <v>211242.6212616</v>
      </c>
      <c r="E593" s="2" t="s">
        <v>152</v>
      </c>
      <c r="F593" s="6">
        <v>2002</v>
      </c>
      <c r="G593" s="6">
        <v>5</v>
      </c>
      <c r="H593" s="7">
        <v>30</v>
      </c>
      <c r="I593" s="6">
        <v>5</v>
      </c>
      <c r="J593" s="6">
        <v>2</v>
      </c>
      <c r="K593" s="6">
        <v>1</v>
      </c>
      <c r="L593" s="6">
        <v>15</v>
      </c>
      <c r="M593" s="6">
        <v>236598</v>
      </c>
      <c r="N593" s="6">
        <v>4731960</v>
      </c>
      <c r="O593" s="6">
        <v>64</v>
      </c>
      <c r="P593" s="7">
        <v>5323.0932000000003</v>
      </c>
      <c r="Q593" s="7">
        <v>22382.703000000001</v>
      </c>
      <c r="R593" s="9">
        <f>D593*VLOOKUP(1001,적!$A$4:$D$13,3,FALSE)</f>
        <v>422485.2425232</v>
      </c>
      <c r="S593" s="9">
        <f>D593*VLOOKUP(F593,보스!$A$4:$E$5,4,FALSE)</f>
        <v>15209468.730835199</v>
      </c>
    </row>
    <row r="594" spans="1:19" ht="21.95" customHeight="1">
      <c r="A594" s="6">
        <v>5591</v>
      </c>
      <c r="B594" s="2" t="s">
        <v>742</v>
      </c>
      <c r="C594" s="6">
        <v>591</v>
      </c>
      <c r="D594" s="7">
        <v>212281.91087600001</v>
      </c>
      <c r="E594" s="2" t="s">
        <v>152</v>
      </c>
      <c r="F594" s="6">
        <v>2001</v>
      </c>
      <c r="G594" s="6">
        <v>5</v>
      </c>
      <c r="H594" s="7">
        <v>30</v>
      </c>
      <c r="I594" s="6">
        <v>5</v>
      </c>
      <c r="J594" s="6">
        <v>2</v>
      </c>
      <c r="K594" s="6">
        <v>1</v>
      </c>
      <c r="L594" s="6">
        <v>15</v>
      </c>
      <c r="M594" s="6">
        <v>237004</v>
      </c>
      <c r="N594" s="6">
        <v>4740080</v>
      </c>
      <c r="O594" s="6">
        <v>64</v>
      </c>
      <c r="P594" s="7">
        <v>5339.3977999999997</v>
      </c>
      <c r="Q594" s="7">
        <v>22451.2585</v>
      </c>
      <c r="R594" s="9">
        <f>D594*VLOOKUP(1001,적!$A$4:$D$13,3,FALSE)</f>
        <v>424563.82175200002</v>
      </c>
      <c r="S594" s="9">
        <f>D594*VLOOKUP(F594,보스!$A$4:$E$5,4,FALSE)</f>
        <v>15284297.583072001</v>
      </c>
    </row>
    <row r="595" spans="1:19" ht="21.95" customHeight="1">
      <c r="A595" s="6">
        <v>5592</v>
      </c>
      <c r="B595" s="2" t="s">
        <v>743</v>
      </c>
      <c r="C595" s="6">
        <v>592</v>
      </c>
      <c r="D595" s="7">
        <v>213325.17145575999</v>
      </c>
      <c r="E595" s="2" t="s">
        <v>152</v>
      </c>
      <c r="F595" s="6">
        <v>2002</v>
      </c>
      <c r="G595" s="6">
        <v>5</v>
      </c>
      <c r="H595" s="7">
        <v>30</v>
      </c>
      <c r="I595" s="6">
        <v>5</v>
      </c>
      <c r="J595" s="6">
        <v>2</v>
      </c>
      <c r="K595" s="6">
        <v>1</v>
      </c>
      <c r="L595" s="6">
        <v>15</v>
      </c>
      <c r="M595" s="6">
        <v>237410</v>
      </c>
      <c r="N595" s="6">
        <v>4748200</v>
      </c>
      <c r="O595" s="6">
        <v>64</v>
      </c>
      <c r="P595" s="7">
        <v>5355.7270399999998</v>
      </c>
      <c r="Q595" s="7">
        <v>22519.917600000001</v>
      </c>
      <c r="R595" s="9">
        <f>D595*VLOOKUP(1001,적!$A$4:$D$13,3,FALSE)</f>
        <v>426650.34291151998</v>
      </c>
      <c r="S595" s="9">
        <f>D595*VLOOKUP(F595,보스!$A$4:$E$5,4,FALSE)</f>
        <v>15359412.34481472</v>
      </c>
    </row>
    <row r="596" spans="1:19" ht="21.95" customHeight="1">
      <c r="A596" s="6">
        <v>5593</v>
      </c>
      <c r="B596" s="2" t="s">
        <v>744</v>
      </c>
      <c r="C596" s="6">
        <v>593</v>
      </c>
      <c r="D596" s="7">
        <v>214372.41400320001</v>
      </c>
      <c r="E596" s="2" t="s">
        <v>152</v>
      </c>
      <c r="F596" s="6">
        <v>2001</v>
      </c>
      <c r="G596" s="6">
        <v>5</v>
      </c>
      <c r="H596" s="7">
        <v>30</v>
      </c>
      <c r="I596" s="6">
        <v>5</v>
      </c>
      <c r="J596" s="6">
        <v>2</v>
      </c>
      <c r="K596" s="6">
        <v>1</v>
      </c>
      <c r="L596" s="6">
        <v>15</v>
      </c>
      <c r="M596" s="6">
        <v>237816</v>
      </c>
      <c r="N596" s="6">
        <v>4756320</v>
      </c>
      <c r="O596" s="6">
        <v>64</v>
      </c>
      <c r="P596" s="7">
        <v>5372.0809200000003</v>
      </c>
      <c r="Q596" s="7">
        <v>22588.6803</v>
      </c>
      <c r="R596" s="9">
        <f>D596*VLOOKUP(1001,적!$A$4:$D$13,3,FALSE)</f>
        <v>428744.82800640003</v>
      </c>
      <c r="S596" s="9">
        <f>D596*VLOOKUP(F596,보스!$A$4:$E$5,4,FALSE)</f>
        <v>15434813.8082304</v>
      </c>
    </row>
    <row r="597" spans="1:19" ht="21.95" customHeight="1">
      <c r="A597" s="6">
        <v>5594</v>
      </c>
      <c r="B597" s="2" t="s">
        <v>745</v>
      </c>
      <c r="C597" s="6">
        <v>594</v>
      </c>
      <c r="D597" s="7">
        <v>215423.64953791999</v>
      </c>
      <c r="E597" s="2" t="s">
        <v>152</v>
      </c>
      <c r="F597" s="6">
        <v>2002</v>
      </c>
      <c r="G597" s="6">
        <v>5</v>
      </c>
      <c r="H597" s="7">
        <v>30</v>
      </c>
      <c r="I597" s="6">
        <v>5</v>
      </c>
      <c r="J597" s="6">
        <v>2</v>
      </c>
      <c r="K597" s="6">
        <v>1</v>
      </c>
      <c r="L597" s="6">
        <v>15</v>
      </c>
      <c r="M597" s="6">
        <v>238222</v>
      </c>
      <c r="N597" s="6">
        <v>4764440</v>
      </c>
      <c r="O597" s="6">
        <v>64</v>
      </c>
      <c r="P597" s="7">
        <v>5388.4594399999996</v>
      </c>
      <c r="Q597" s="7">
        <v>22657.546600000001</v>
      </c>
      <c r="R597" s="9">
        <f>D597*VLOOKUP(1001,적!$A$4:$D$13,3,FALSE)</f>
        <v>430847.29907583998</v>
      </c>
      <c r="S597" s="9">
        <f>D597*VLOOKUP(F597,보스!$A$4:$E$5,4,FALSE)</f>
        <v>15510502.76673024</v>
      </c>
    </row>
    <row r="598" spans="1:19" ht="21.95" customHeight="1">
      <c r="A598" s="6">
        <v>5595</v>
      </c>
      <c r="B598" s="2" t="s">
        <v>746</v>
      </c>
      <c r="C598" s="6">
        <v>595</v>
      </c>
      <c r="D598" s="7">
        <v>216478.88909680001</v>
      </c>
      <c r="E598" s="2" t="s">
        <v>152</v>
      </c>
      <c r="F598" s="6">
        <v>2001</v>
      </c>
      <c r="G598" s="6">
        <v>5</v>
      </c>
      <c r="H598" s="7">
        <v>30</v>
      </c>
      <c r="I598" s="6">
        <v>5</v>
      </c>
      <c r="J598" s="6">
        <v>2</v>
      </c>
      <c r="K598" s="6">
        <v>1</v>
      </c>
      <c r="L598" s="6">
        <v>15</v>
      </c>
      <c r="M598" s="6">
        <v>238629</v>
      </c>
      <c r="N598" s="6">
        <v>4772580</v>
      </c>
      <c r="O598" s="6">
        <v>64</v>
      </c>
      <c r="P598" s="7">
        <v>5404.8626000000004</v>
      </c>
      <c r="Q598" s="7">
        <v>22726.516500000002</v>
      </c>
      <c r="R598" s="9">
        <f>D598*VLOOKUP(1001,적!$A$4:$D$13,3,FALSE)</f>
        <v>432957.77819360001</v>
      </c>
      <c r="S598" s="9">
        <f>D598*VLOOKUP(F598,보스!$A$4:$E$5,4,FALSE)</f>
        <v>15586480.0149696</v>
      </c>
    </row>
    <row r="599" spans="1:19" ht="21.95" customHeight="1">
      <c r="A599" s="6">
        <v>5596</v>
      </c>
      <c r="B599" s="2" t="s">
        <v>747</v>
      </c>
      <c r="C599" s="6">
        <v>596</v>
      </c>
      <c r="D599" s="7">
        <v>217538.14373400001</v>
      </c>
      <c r="E599" s="2" t="s">
        <v>152</v>
      </c>
      <c r="F599" s="6">
        <v>2002</v>
      </c>
      <c r="G599" s="6">
        <v>5</v>
      </c>
      <c r="H599" s="7">
        <v>30</v>
      </c>
      <c r="I599" s="6">
        <v>5</v>
      </c>
      <c r="J599" s="6">
        <v>2</v>
      </c>
      <c r="K599" s="6">
        <v>1</v>
      </c>
      <c r="L599" s="6">
        <v>15</v>
      </c>
      <c r="M599" s="6">
        <v>239035</v>
      </c>
      <c r="N599" s="6">
        <v>4780700</v>
      </c>
      <c r="O599" s="6">
        <v>64</v>
      </c>
      <c r="P599" s="7">
        <v>5421.2903999999999</v>
      </c>
      <c r="Q599" s="7">
        <v>22795.59</v>
      </c>
      <c r="R599" s="9">
        <f>D599*VLOOKUP(1001,적!$A$4:$D$13,3,FALSE)</f>
        <v>435076.28746800002</v>
      </c>
      <c r="S599" s="9">
        <f>D599*VLOOKUP(F599,보스!$A$4:$E$5,4,FALSE)</f>
        <v>15662746.348848</v>
      </c>
    </row>
    <row r="600" spans="1:19" ht="21.95" customHeight="1">
      <c r="A600" s="6">
        <v>5597</v>
      </c>
      <c r="B600" s="2" t="s">
        <v>748</v>
      </c>
      <c r="C600" s="6">
        <v>597</v>
      </c>
      <c r="D600" s="7">
        <v>218601.42452095999</v>
      </c>
      <c r="E600" s="2" t="s">
        <v>152</v>
      </c>
      <c r="F600" s="6">
        <v>2001</v>
      </c>
      <c r="G600" s="6">
        <v>5</v>
      </c>
      <c r="H600" s="7">
        <v>30</v>
      </c>
      <c r="I600" s="6">
        <v>5</v>
      </c>
      <c r="J600" s="6">
        <v>2</v>
      </c>
      <c r="K600" s="6">
        <v>1</v>
      </c>
      <c r="L600" s="6">
        <v>15</v>
      </c>
      <c r="M600" s="6">
        <v>239441</v>
      </c>
      <c r="N600" s="6">
        <v>4788820</v>
      </c>
      <c r="O600" s="6">
        <v>64</v>
      </c>
      <c r="P600" s="7">
        <v>5437.7428399999999</v>
      </c>
      <c r="Q600" s="7">
        <v>22864.767100000001</v>
      </c>
      <c r="R600" s="9">
        <f>D600*VLOOKUP(1001,적!$A$4:$D$13,3,FALSE)</f>
        <v>437202.84904191998</v>
      </c>
      <c r="S600" s="9">
        <f>D600*VLOOKUP(F600,보스!$A$4:$E$5,4,FALSE)</f>
        <v>15739302.56550912</v>
      </c>
    </row>
    <row r="601" spans="1:19" ht="21.95" customHeight="1">
      <c r="A601" s="6">
        <v>5598</v>
      </c>
      <c r="B601" s="2" t="s">
        <v>749</v>
      </c>
      <c r="C601" s="6">
        <v>598</v>
      </c>
      <c r="D601" s="7">
        <v>219668.7425464</v>
      </c>
      <c r="E601" s="2" t="s">
        <v>152</v>
      </c>
      <c r="F601" s="6">
        <v>2002</v>
      </c>
      <c r="G601" s="6">
        <v>5</v>
      </c>
      <c r="H601" s="7">
        <v>30</v>
      </c>
      <c r="I601" s="6">
        <v>5</v>
      </c>
      <c r="J601" s="6">
        <v>2</v>
      </c>
      <c r="K601" s="6">
        <v>1</v>
      </c>
      <c r="L601" s="6">
        <v>15</v>
      </c>
      <c r="M601" s="6">
        <v>239847</v>
      </c>
      <c r="N601" s="6">
        <v>4796940</v>
      </c>
      <c r="O601" s="6">
        <v>64</v>
      </c>
      <c r="P601" s="7">
        <v>5454.2199199999995</v>
      </c>
      <c r="Q601" s="7">
        <v>22934.0478</v>
      </c>
      <c r="R601" s="9">
        <f>D601*VLOOKUP(1001,적!$A$4:$D$13,3,FALSE)</f>
        <v>439337.48509279999</v>
      </c>
      <c r="S601" s="9">
        <f>D601*VLOOKUP(F601,보스!$A$4:$E$5,4,FALSE)</f>
        <v>15816149.4633408</v>
      </c>
    </row>
    <row r="602" spans="1:19" ht="21.95" customHeight="1">
      <c r="A602" s="6">
        <v>5599</v>
      </c>
      <c r="B602" s="2" t="s">
        <v>750</v>
      </c>
      <c r="C602" s="6">
        <v>599</v>
      </c>
      <c r="D602" s="7">
        <v>220740.10891631999</v>
      </c>
      <c r="E602" s="2" t="s">
        <v>152</v>
      </c>
      <c r="F602" s="6">
        <v>2001</v>
      </c>
      <c r="G602" s="6">
        <v>5</v>
      </c>
      <c r="H602" s="7">
        <v>30</v>
      </c>
      <c r="I602" s="6">
        <v>5</v>
      </c>
      <c r="J602" s="6">
        <v>2</v>
      </c>
      <c r="K602" s="6">
        <v>1</v>
      </c>
      <c r="L602" s="6">
        <v>15</v>
      </c>
      <c r="M602" s="6">
        <v>240253</v>
      </c>
      <c r="N602" s="6">
        <v>4805060</v>
      </c>
      <c r="O602" s="6">
        <v>64</v>
      </c>
      <c r="P602" s="7">
        <v>5470.7216399999998</v>
      </c>
      <c r="Q602" s="7">
        <v>23003.432100000002</v>
      </c>
      <c r="R602" s="9">
        <f>D602*VLOOKUP(1001,적!$A$4:$D$13,3,FALSE)</f>
        <v>441480.21783263999</v>
      </c>
      <c r="S602" s="9">
        <f>D602*VLOOKUP(F602,보스!$A$4:$E$5,4,FALSE)</f>
        <v>15893287.841975039</v>
      </c>
    </row>
    <row r="603" spans="1:19" ht="21.95" customHeight="1">
      <c r="A603" s="6">
        <v>5600</v>
      </c>
      <c r="B603" s="2" t="s">
        <v>751</v>
      </c>
      <c r="C603" s="6">
        <v>600</v>
      </c>
      <c r="D603" s="7">
        <v>221815.53475399999</v>
      </c>
      <c r="E603" s="2" t="s">
        <v>152</v>
      </c>
      <c r="F603" s="6">
        <v>2002</v>
      </c>
      <c r="G603" s="6">
        <v>5</v>
      </c>
      <c r="H603" s="7">
        <v>30</v>
      </c>
      <c r="I603" s="6">
        <v>5</v>
      </c>
      <c r="J603" s="6">
        <v>2</v>
      </c>
      <c r="K603" s="6">
        <v>1</v>
      </c>
      <c r="L603" s="6">
        <v>15</v>
      </c>
      <c r="M603" s="6">
        <v>240659</v>
      </c>
      <c r="N603" s="6">
        <v>4813180</v>
      </c>
      <c r="O603" s="6">
        <v>65</v>
      </c>
      <c r="P603" s="7">
        <v>5487.2479999999996</v>
      </c>
      <c r="Q603" s="7">
        <v>23072.92</v>
      </c>
      <c r="R603" s="9">
        <f>D603*VLOOKUP(1001,적!$A$4:$D$13,3,FALSE)</f>
        <v>443631.06950799999</v>
      </c>
      <c r="S603" s="9">
        <f>D603*VLOOKUP(F603,보스!$A$4:$E$5,4,FALSE)</f>
        <v>15970718.502287999</v>
      </c>
    </row>
    <row r="604" spans="1:19" ht="21.95" customHeight="1">
      <c r="A604" s="6">
        <v>5601</v>
      </c>
      <c r="B604" s="2" t="s">
        <v>752</v>
      </c>
      <c r="C604" s="6">
        <v>601</v>
      </c>
      <c r="D604" s="7">
        <v>222895.0312</v>
      </c>
      <c r="E604" s="2" t="s">
        <v>152</v>
      </c>
      <c r="F604" s="6">
        <v>2001</v>
      </c>
      <c r="G604" s="6">
        <v>5</v>
      </c>
      <c r="H604" s="7">
        <v>30</v>
      </c>
      <c r="I604" s="6">
        <v>5</v>
      </c>
      <c r="J604" s="6">
        <v>2</v>
      </c>
      <c r="K604" s="6">
        <v>1</v>
      </c>
      <c r="L604" s="6">
        <v>15</v>
      </c>
      <c r="M604" s="6">
        <v>241066</v>
      </c>
      <c r="N604" s="6">
        <v>4821320</v>
      </c>
      <c r="O604" s="6">
        <v>65</v>
      </c>
      <c r="P604" s="7">
        <v>5503.799</v>
      </c>
      <c r="Q604" s="7">
        <v>23142.511500000001</v>
      </c>
      <c r="R604" s="9">
        <f>D604*VLOOKUP(1001,적!$A$4:$D$13,3,FALSE)</f>
        <v>445790.0624</v>
      </c>
      <c r="S604" s="9">
        <f>D604*VLOOKUP(F604,보스!$A$4:$E$5,4,FALSE)</f>
        <v>16048442.246400001</v>
      </c>
    </row>
    <row r="605" spans="1:19" ht="21.95" customHeight="1">
      <c r="A605" s="6">
        <v>5602</v>
      </c>
      <c r="B605" s="2" t="s">
        <v>753</v>
      </c>
      <c r="C605" s="6">
        <v>602</v>
      </c>
      <c r="D605" s="7">
        <v>223978.60941216</v>
      </c>
      <c r="E605" s="2" t="s">
        <v>152</v>
      </c>
      <c r="F605" s="6">
        <v>2002</v>
      </c>
      <c r="G605" s="6">
        <v>5</v>
      </c>
      <c r="H605" s="7">
        <v>30</v>
      </c>
      <c r="I605" s="6">
        <v>5</v>
      </c>
      <c r="J605" s="6">
        <v>2</v>
      </c>
      <c r="K605" s="6">
        <v>1</v>
      </c>
      <c r="L605" s="6">
        <v>15</v>
      </c>
      <c r="M605" s="6">
        <v>241472</v>
      </c>
      <c r="N605" s="6">
        <v>4829440</v>
      </c>
      <c r="O605" s="6">
        <v>65</v>
      </c>
      <c r="P605" s="7">
        <v>5520.37464</v>
      </c>
      <c r="Q605" s="7">
        <v>23212.206600000001</v>
      </c>
      <c r="R605" s="9">
        <f>D605*VLOOKUP(1001,적!$A$4:$D$13,3,FALSE)</f>
        <v>447957.21882432001</v>
      </c>
      <c r="S605" s="9">
        <f>D605*VLOOKUP(F605,보스!$A$4:$E$5,4,FALSE)</f>
        <v>16126459.87767552</v>
      </c>
    </row>
    <row r="606" spans="1:19" ht="21.95" customHeight="1">
      <c r="A606" s="6">
        <v>5603</v>
      </c>
      <c r="B606" s="2" t="s">
        <v>754</v>
      </c>
      <c r="C606" s="6">
        <v>603</v>
      </c>
      <c r="D606" s="7">
        <v>225066.2805656</v>
      </c>
      <c r="E606" s="2" t="s">
        <v>152</v>
      </c>
      <c r="F606" s="6">
        <v>2001</v>
      </c>
      <c r="G606" s="6">
        <v>5</v>
      </c>
      <c r="H606" s="7">
        <v>30</v>
      </c>
      <c r="I606" s="6">
        <v>5</v>
      </c>
      <c r="J606" s="6">
        <v>2</v>
      </c>
      <c r="K606" s="6">
        <v>1</v>
      </c>
      <c r="L606" s="6">
        <v>15</v>
      </c>
      <c r="M606" s="6">
        <v>241878</v>
      </c>
      <c r="N606" s="6">
        <v>4837560</v>
      </c>
      <c r="O606" s="6">
        <v>65</v>
      </c>
      <c r="P606" s="7">
        <v>5536.9749199999997</v>
      </c>
      <c r="Q606" s="7">
        <v>23282.005300000001</v>
      </c>
      <c r="R606" s="9">
        <f>D606*VLOOKUP(1001,적!$A$4:$D$13,3,FALSE)</f>
        <v>450132.5611312</v>
      </c>
      <c r="S606" s="9">
        <f>D606*VLOOKUP(F606,보스!$A$4:$E$5,4,FALSE)</f>
        <v>16204772.200723199</v>
      </c>
    </row>
    <row r="607" spans="1:19" ht="21.95" customHeight="1">
      <c r="A607" s="6">
        <v>5604</v>
      </c>
      <c r="B607" s="2" t="s">
        <v>755</v>
      </c>
      <c r="C607" s="6">
        <v>604</v>
      </c>
      <c r="D607" s="7">
        <v>226158.05585271999</v>
      </c>
      <c r="E607" s="2" t="s">
        <v>152</v>
      </c>
      <c r="F607" s="6">
        <v>2002</v>
      </c>
      <c r="G607" s="6">
        <v>5</v>
      </c>
      <c r="H607" s="7">
        <v>30</v>
      </c>
      <c r="I607" s="6">
        <v>5</v>
      </c>
      <c r="J607" s="6">
        <v>2</v>
      </c>
      <c r="K607" s="6">
        <v>1</v>
      </c>
      <c r="L607" s="6">
        <v>15</v>
      </c>
      <c r="M607" s="6">
        <v>242284</v>
      </c>
      <c r="N607" s="6">
        <v>4845680</v>
      </c>
      <c r="O607" s="6">
        <v>65</v>
      </c>
      <c r="P607" s="7">
        <v>5553.5998399999999</v>
      </c>
      <c r="Q607" s="7">
        <v>23351.907599999999</v>
      </c>
      <c r="R607" s="9">
        <f>D607*VLOOKUP(1001,적!$A$4:$D$13,3,FALSE)</f>
        <v>452316.11170543998</v>
      </c>
      <c r="S607" s="9">
        <f>D607*VLOOKUP(F607,보스!$A$4:$E$5,4,FALSE)</f>
        <v>16283380.02139584</v>
      </c>
    </row>
    <row r="608" spans="1:19" ht="21.95" customHeight="1">
      <c r="A608" s="6">
        <v>5605</v>
      </c>
      <c r="B608" s="2" t="s">
        <v>756</v>
      </c>
      <c r="C608" s="6">
        <v>605</v>
      </c>
      <c r="D608" s="7">
        <v>227253.94648320001</v>
      </c>
      <c r="E608" s="2" t="s">
        <v>152</v>
      </c>
      <c r="F608" s="6">
        <v>2001</v>
      </c>
      <c r="G608" s="6">
        <v>5</v>
      </c>
      <c r="H608" s="7">
        <v>30</v>
      </c>
      <c r="I608" s="6">
        <v>5</v>
      </c>
      <c r="J608" s="6">
        <v>2</v>
      </c>
      <c r="K608" s="6">
        <v>1</v>
      </c>
      <c r="L608" s="6">
        <v>15</v>
      </c>
      <c r="M608" s="6">
        <v>242690</v>
      </c>
      <c r="N608" s="6">
        <v>4853800</v>
      </c>
      <c r="O608" s="6">
        <v>65</v>
      </c>
      <c r="P608" s="7">
        <v>5570.2493999999997</v>
      </c>
      <c r="Q608" s="7">
        <v>23421.913499999999</v>
      </c>
      <c r="R608" s="9">
        <f>D608*VLOOKUP(1001,적!$A$4:$D$13,3,FALSE)</f>
        <v>454507.89296640002</v>
      </c>
      <c r="S608" s="9">
        <f>D608*VLOOKUP(F608,보스!$A$4:$E$5,4,FALSE)</f>
        <v>16362284.1467904</v>
      </c>
    </row>
    <row r="609" spans="1:19" ht="21.95" customHeight="1">
      <c r="A609" s="6">
        <v>5606</v>
      </c>
      <c r="B609" s="2" t="s">
        <v>757</v>
      </c>
      <c r="C609" s="6">
        <v>606</v>
      </c>
      <c r="D609" s="7">
        <v>228353.96368399999</v>
      </c>
      <c r="E609" s="2" t="s">
        <v>152</v>
      </c>
      <c r="F609" s="6">
        <v>2002</v>
      </c>
      <c r="G609" s="6">
        <v>5</v>
      </c>
      <c r="H609" s="7">
        <v>30</v>
      </c>
      <c r="I609" s="6">
        <v>5</v>
      </c>
      <c r="J609" s="6">
        <v>2</v>
      </c>
      <c r="K609" s="6">
        <v>1</v>
      </c>
      <c r="L609" s="6">
        <v>15</v>
      </c>
      <c r="M609" s="6">
        <v>243096</v>
      </c>
      <c r="N609" s="6">
        <v>4861920</v>
      </c>
      <c r="O609" s="6">
        <v>65</v>
      </c>
      <c r="P609" s="7">
        <v>5586.9236000000001</v>
      </c>
      <c r="Q609" s="7">
        <v>23492.023000000001</v>
      </c>
      <c r="R609" s="9">
        <f>D609*VLOOKUP(1001,적!$A$4:$D$13,3,FALSE)</f>
        <v>456707.92736799998</v>
      </c>
      <c r="S609" s="9">
        <f>D609*VLOOKUP(F609,보스!$A$4:$E$5,4,FALSE)</f>
        <v>16441485.385248</v>
      </c>
    </row>
    <row r="610" spans="1:19" ht="21.95" customHeight="1">
      <c r="A610" s="6">
        <v>5607</v>
      </c>
      <c r="B610" s="2" t="s">
        <v>758</v>
      </c>
      <c r="C610" s="6">
        <v>607</v>
      </c>
      <c r="D610" s="7">
        <v>229458.11869936</v>
      </c>
      <c r="E610" s="2" t="s">
        <v>152</v>
      </c>
      <c r="F610" s="6">
        <v>2001</v>
      </c>
      <c r="G610" s="6">
        <v>5</v>
      </c>
      <c r="H610" s="7">
        <v>30</v>
      </c>
      <c r="I610" s="6">
        <v>5</v>
      </c>
      <c r="J610" s="6">
        <v>2</v>
      </c>
      <c r="K610" s="6">
        <v>1</v>
      </c>
      <c r="L610" s="6">
        <v>15</v>
      </c>
      <c r="M610" s="6">
        <v>243502</v>
      </c>
      <c r="N610" s="6">
        <v>4870040</v>
      </c>
      <c r="O610" s="6">
        <v>65</v>
      </c>
      <c r="P610" s="7">
        <v>5603.6224400000001</v>
      </c>
      <c r="Q610" s="7">
        <v>23562.236099999998</v>
      </c>
      <c r="R610" s="9">
        <f>D610*VLOOKUP(1001,적!$A$4:$D$13,3,FALSE)</f>
        <v>458916.23739872</v>
      </c>
      <c r="S610" s="9">
        <f>D610*VLOOKUP(F610,보스!$A$4:$E$5,4,FALSE)</f>
        <v>16520984.546353919</v>
      </c>
    </row>
    <row r="611" spans="1:19" ht="21.95" customHeight="1">
      <c r="A611" s="6">
        <v>5608</v>
      </c>
      <c r="B611" s="2" t="s">
        <v>759</v>
      </c>
      <c r="C611" s="6">
        <v>608</v>
      </c>
      <c r="D611" s="7">
        <v>230566.42279079999</v>
      </c>
      <c r="E611" s="2" t="s">
        <v>152</v>
      </c>
      <c r="F611" s="6">
        <v>2002</v>
      </c>
      <c r="G611" s="6">
        <v>5</v>
      </c>
      <c r="H611" s="7">
        <v>30</v>
      </c>
      <c r="I611" s="6">
        <v>5</v>
      </c>
      <c r="J611" s="6">
        <v>2</v>
      </c>
      <c r="K611" s="6">
        <v>1</v>
      </c>
      <c r="L611" s="6">
        <v>15</v>
      </c>
      <c r="M611" s="6">
        <v>243909</v>
      </c>
      <c r="N611" s="6">
        <v>4878180</v>
      </c>
      <c r="O611" s="6">
        <v>65</v>
      </c>
      <c r="P611" s="7">
        <v>5620.3459199999998</v>
      </c>
      <c r="Q611" s="7">
        <v>23632.552800000001</v>
      </c>
      <c r="R611" s="9">
        <f>D611*VLOOKUP(1001,적!$A$4:$D$13,3,FALSE)</f>
        <v>461132.84558159998</v>
      </c>
      <c r="S611" s="9">
        <f>D611*VLOOKUP(F611,보스!$A$4:$E$5,4,FALSE)</f>
        <v>16600782.440937599</v>
      </c>
    </row>
    <row r="612" spans="1:19" ht="21.95" customHeight="1">
      <c r="A612" s="6">
        <v>5609</v>
      </c>
      <c r="B612" s="2" t="s">
        <v>760</v>
      </c>
      <c r="C612" s="6">
        <v>609</v>
      </c>
      <c r="D612" s="7">
        <v>231678.88723712001</v>
      </c>
      <c r="E612" s="2" t="s">
        <v>152</v>
      </c>
      <c r="F612" s="6">
        <v>2001</v>
      </c>
      <c r="G612" s="6">
        <v>5</v>
      </c>
      <c r="H612" s="7">
        <v>30</v>
      </c>
      <c r="I612" s="6">
        <v>5</v>
      </c>
      <c r="J612" s="6">
        <v>2</v>
      </c>
      <c r="K612" s="6">
        <v>1</v>
      </c>
      <c r="L612" s="6">
        <v>15</v>
      </c>
      <c r="M612" s="6">
        <v>244315</v>
      </c>
      <c r="N612" s="6">
        <v>4886300</v>
      </c>
      <c r="O612" s="6">
        <v>65</v>
      </c>
      <c r="P612" s="7">
        <v>5637.0940399999999</v>
      </c>
      <c r="Q612" s="7">
        <v>23702.973099999999</v>
      </c>
      <c r="R612" s="9">
        <f>D612*VLOOKUP(1001,적!$A$4:$D$13,3,FALSE)</f>
        <v>463357.77447424002</v>
      </c>
      <c r="S612" s="9">
        <f>D612*VLOOKUP(F612,보스!$A$4:$E$5,4,FALSE)</f>
        <v>16680879.88107264</v>
      </c>
    </row>
    <row r="613" spans="1:19" ht="21.95" customHeight="1">
      <c r="A613" s="6">
        <v>5610</v>
      </c>
      <c r="B613" s="2" t="s">
        <v>761</v>
      </c>
      <c r="C613" s="6">
        <v>610</v>
      </c>
      <c r="D613" s="7">
        <v>232795.5233344</v>
      </c>
      <c r="E613" s="2" t="s">
        <v>152</v>
      </c>
      <c r="F613" s="6">
        <v>2002</v>
      </c>
      <c r="G613" s="6">
        <v>5</v>
      </c>
      <c r="H613" s="7">
        <v>30</v>
      </c>
      <c r="I613" s="6">
        <v>5</v>
      </c>
      <c r="J613" s="6">
        <v>2</v>
      </c>
      <c r="K613" s="6">
        <v>1</v>
      </c>
      <c r="L613" s="6">
        <v>15</v>
      </c>
      <c r="M613" s="6">
        <v>244721</v>
      </c>
      <c r="N613" s="6">
        <v>4894420</v>
      </c>
      <c r="O613" s="6">
        <v>66</v>
      </c>
      <c r="P613" s="7">
        <v>5653.8667999999998</v>
      </c>
      <c r="Q613" s="7">
        <v>23773.496999999999</v>
      </c>
      <c r="R613" s="9">
        <f>D613*VLOOKUP(1001,적!$A$4:$D$13,3,FALSE)</f>
        <v>465591.0466688</v>
      </c>
      <c r="S613" s="9">
        <f>D613*VLOOKUP(F613,보스!$A$4:$E$5,4,FALSE)</f>
        <v>16761277.6800768</v>
      </c>
    </row>
    <row r="614" spans="1:19" ht="21.95" customHeight="1">
      <c r="A614" s="6">
        <v>5611</v>
      </c>
      <c r="B614" s="2" t="s">
        <v>762</v>
      </c>
      <c r="C614" s="6">
        <v>611</v>
      </c>
      <c r="D614" s="7">
        <v>233916.34239599999</v>
      </c>
      <c r="E614" s="2" t="s">
        <v>152</v>
      </c>
      <c r="F614" s="6">
        <v>2001</v>
      </c>
      <c r="G614" s="6">
        <v>5</v>
      </c>
      <c r="H614" s="7">
        <v>30</v>
      </c>
      <c r="I614" s="6">
        <v>5</v>
      </c>
      <c r="J614" s="6">
        <v>2</v>
      </c>
      <c r="K614" s="6">
        <v>1</v>
      </c>
      <c r="L614" s="6">
        <v>15</v>
      </c>
      <c r="M614" s="6">
        <v>245127</v>
      </c>
      <c r="N614" s="6">
        <v>4902540</v>
      </c>
      <c r="O614" s="6">
        <v>66</v>
      </c>
      <c r="P614" s="7">
        <v>5670.6642000000002</v>
      </c>
      <c r="Q614" s="7">
        <v>23844.124500000002</v>
      </c>
      <c r="R614" s="9">
        <f>D614*VLOOKUP(1001,적!$A$4:$D$13,3,FALSE)</f>
        <v>467832.68479199999</v>
      </c>
      <c r="S614" s="9">
        <f>D614*VLOOKUP(F614,보스!$A$4:$E$5,4,FALSE)</f>
        <v>16841976.652511999</v>
      </c>
    </row>
    <row r="615" spans="1:19" ht="21.95" customHeight="1">
      <c r="A615" s="6">
        <v>5612</v>
      </c>
      <c r="B615" s="2" t="s">
        <v>763</v>
      </c>
      <c r="C615" s="6">
        <v>612</v>
      </c>
      <c r="D615" s="7">
        <v>235041.35575255999</v>
      </c>
      <c r="E615" s="2" t="s">
        <v>152</v>
      </c>
      <c r="F615" s="6">
        <v>2002</v>
      </c>
      <c r="G615" s="6">
        <v>5</v>
      </c>
      <c r="H615" s="7">
        <v>30</v>
      </c>
      <c r="I615" s="6">
        <v>5</v>
      </c>
      <c r="J615" s="6">
        <v>2</v>
      </c>
      <c r="K615" s="6">
        <v>1</v>
      </c>
      <c r="L615" s="6">
        <v>15</v>
      </c>
      <c r="M615" s="6">
        <v>245533</v>
      </c>
      <c r="N615" s="6">
        <v>4910660</v>
      </c>
      <c r="O615" s="6">
        <v>66</v>
      </c>
      <c r="P615" s="7">
        <v>5687.4862400000002</v>
      </c>
      <c r="Q615" s="7">
        <v>23914.855599999999</v>
      </c>
      <c r="R615" s="9">
        <f>D615*VLOOKUP(1001,적!$A$4:$D$13,3,FALSE)</f>
        <v>470082.71150511998</v>
      </c>
      <c r="S615" s="9">
        <f>D615*VLOOKUP(F615,보스!$A$4:$E$5,4,FALSE)</f>
        <v>16922977.61418432</v>
      </c>
    </row>
    <row r="616" spans="1:19" ht="21.95" customHeight="1">
      <c r="A616" s="6">
        <v>5613</v>
      </c>
      <c r="B616" s="2" t="s">
        <v>764</v>
      </c>
      <c r="C616" s="6">
        <v>613</v>
      </c>
      <c r="D616" s="7">
        <v>236170.57475199999</v>
      </c>
      <c r="E616" s="2" t="s">
        <v>152</v>
      </c>
      <c r="F616" s="6">
        <v>2001</v>
      </c>
      <c r="G616" s="6">
        <v>5</v>
      </c>
      <c r="H616" s="7">
        <v>30</v>
      </c>
      <c r="I616" s="6">
        <v>5</v>
      </c>
      <c r="J616" s="6">
        <v>2</v>
      </c>
      <c r="K616" s="6">
        <v>1</v>
      </c>
      <c r="L616" s="6">
        <v>15</v>
      </c>
      <c r="M616" s="6">
        <v>245939</v>
      </c>
      <c r="N616" s="6">
        <v>4918780</v>
      </c>
      <c r="O616" s="6">
        <v>66</v>
      </c>
      <c r="P616" s="7">
        <v>5704.3329199999998</v>
      </c>
      <c r="Q616" s="7">
        <v>23985.690299999998</v>
      </c>
      <c r="R616" s="9">
        <f>D616*VLOOKUP(1001,적!$A$4:$D$13,3,FALSE)</f>
        <v>472341.14950399997</v>
      </c>
      <c r="S616" s="9">
        <f>D616*VLOOKUP(F616,보스!$A$4:$E$5,4,FALSE)</f>
        <v>17004281.382144</v>
      </c>
    </row>
    <row r="617" spans="1:19" ht="21.95" customHeight="1">
      <c r="A617" s="6">
        <v>5614</v>
      </c>
      <c r="B617" s="2" t="s">
        <v>765</v>
      </c>
      <c r="C617" s="6">
        <v>614</v>
      </c>
      <c r="D617" s="7">
        <v>237304.01075952</v>
      </c>
      <c r="E617" s="2" t="s">
        <v>152</v>
      </c>
      <c r="F617" s="6">
        <v>2002</v>
      </c>
      <c r="G617" s="6">
        <v>5</v>
      </c>
      <c r="H617" s="7">
        <v>30</v>
      </c>
      <c r="I617" s="6">
        <v>5</v>
      </c>
      <c r="J617" s="6">
        <v>2</v>
      </c>
      <c r="K617" s="6">
        <v>1</v>
      </c>
      <c r="L617" s="6">
        <v>15</v>
      </c>
      <c r="M617" s="6">
        <v>246345</v>
      </c>
      <c r="N617" s="6">
        <v>4926900</v>
      </c>
      <c r="O617" s="6">
        <v>66</v>
      </c>
      <c r="P617" s="7">
        <v>5721.20424</v>
      </c>
      <c r="Q617" s="7">
        <v>24056.6286</v>
      </c>
      <c r="R617" s="9">
        <f>D617*VLOOKUP(1001,적!$A$4:$D$13,3,FALSE)</f>
        <v>474608.02151903999</v>
      </c>
      <c r="S617" s="9">
        <f>D617*VLOOKUP(F617,보스!$A$4:$E$5,4,FALSE)</f>
        <v>17085888.774685439</v>
      </c>
    </row>
    <row r="618" spans="1:19" ht="21.95" customHeight="1">
      <c r="A618" s="6">
        <v>5615</v>
      </c>
      <c r="B618" s="2" t="s">
        <v>766</v>
      </c>
      <c r="C618" s="6">
        <v>615</v>
      </c>
      <c r="D618" s="7">
        <v>238441.6751576</v>
      </c>
      <c r="E618" s="2" t="s">
        <v>152</v>
      </c>
      <c r="F618" s="6">
        <v>2001</v>
      </c>
      <c r="G618" s="6">
        <v>5</v>
      </c>
      <c r="H618" s="7">
        <v>30</v>
      </c>
      <c r="I618" s="6">
        <v>5</v>
      </c>
      <c r="J618" s="6">
        <v>2</v>
      </c>
      <c r="K618" s="6">
        <v>1</v>
      </c>
      <c r="L618" s="6">
        <v>15</v>
      </c>
      <c r="M618" s="6">
        <v>246752</v>
      </c>
      <c r="N618" s="6">
        <v>4935040</v>
      </c>
      <c r="O618" s="6">
        <v>66</v>
      </c>
      <c r="P618" s="7">
        <v>5738.1001999999999</v>
      </c>
      <c r="Q618" s="7">
        <v>24127.6705</v>
      </c>
      <c r="R618" s="9">
        <f>D618*VLOOKUP(1001,적!$A$4:$D$13,3,FALSE)</f>
        <v>476883.35031519999</v>
      </c>
      <c r="S618" s="9">
        <f>D618*VLOOKUP(F618,보스!$A$4:$E$5,4,FALSE)</f>
        <v>17167800.611347198</v>
      </c>
    </row>
    <row r="619" spans="1:19" ht="21.95" customHeight="1">
      <c r="A619" s="6">
        <v>5616</v>
      </c>
      <c r="B619" s="2" t="s">
        <v>767</v>
      </c>
      <c r="C619" s="6">
        <v>616</v>
      </c>
      <c r="D619" s="7">
        <v>239583.57934600001</v>
      </c>
      <c r="E619" s="2" t="s">
        <v>152</v>
      </c>
      <c r="F619" s="6">
        <v>2002</v>
      </c>
      <c r="G619" s="6">
        <v>5</v>
      </c>
      <c r="H619" s="7">
        <v>30</v>
      </c>
      <c r="I619" s="6">
        <v>5</v>
      </c>
      <c r="J619" s="6">
        <v>2</v>
      </c>
      <c r="K619" s="6">
        <v>1</v>
      </c>
      <c r="L619" s="6">
        <v>15</v>
      </c>
      <c r="M619" s="6">
        <v>247158</v>
      </c>
      <c r="N619" s="6">
        <v>4943160</v>
      </c>
      <c r="O619" s="6">
        <v>66</v>
      </c>
      <c r="P619" s="7">
        <v>5755.0208000000002</v>
      </c>
      <c r="Q619" s="7">
        <v>24198.815999999999</v>
      </c>
      <c r="R619" s="9">
        <f>D619*VLOOKUP(1001,적!$A$4:$D$13,3,FALSE)</f>
        <v>479167.15869200003</v>
      </c>
      <c r="S619" s="9">
        <f>D619*VLOOKUP(F619,보스!$A$4:$E$5,4,FALSE)</f>
        <v>17250017.712912001</v>
      </c>
    </row>
    <row r="620" spans="1:19" ht="21.95" customHeight="1">
      <c r="A620" s="6">
        <v>5617</v>
      </c>
      <c r="B620" s="2" t="s">
        <v>768</v>
      </c>
      <c r="C620" s="6">
        <v>617</v>
      </c>
      <c r="D620" s="7">
        <v>240729.73474176001</v>
      </c>
      <c r="E620" s="2" t="s">
        <v>152</v>
      </c>
      <c r="F620" s="6">
        <v>2001</v>
      </c>
      <c r="G620" s="6">
        <v>5</v>
      </c>
      <c r="H620" s="7">
        <v>30</v>
      </c>
      <c r="I620" s="6">
        <v>5</v>
      </c>
      <c r="J620" s="6">
        <v>2</v>
      </c>
      <c r="K620" s="6">
        <v>1</v>
      </c>
      <c r="L620" s="6">
        <v>15</v>
      </c>
      <c r="M620" s="6">
        <v>247564</v>
      </c>
      <c r="N620" s="6">
        <v>4951280</v>
      </c>
      <c r="O620" s="6">
        <v>66</v>
      </c>
      <c r="P620" s="7">
        <v>5771.9660400000002</v>
      </c>
      <c r="Q620" s="7">
        <v>24270.0651</v>
      </c>
      <c r="R620" s="9">
        <f>D620*VLOOKUP(1001,적!$A$4:$D$13,3,FALSE)</f>
        <v>481459.46948352002</v>
      </c>
      <c r="S620" s="9">
        <f>D620*VLOOKUP(F620,보스!$A$4:$E$5,4,FALSE)</f>
        <v>17332540.90140672</v>
      </c>
    </row>
    <row r="621" spans="1:19" ht="21.95" customHeight="1">
      <c r="A621" s="6">
        <v>5618</v>
      </c>
      <c r="B621" s="2" t="s">
        <v>769</v>
      </c>
      <c r="C621" s="6">
        <v>618</v>
      </c>
      <c r="D621" s="7">
        <v>241880.1527792</v>
      </c>
      <c r="E621" s="2" t="s">
        <v>152</v>
      </c>
      <c r="F621" s="6">
        <v>2002</v>
      </c>
      <c r="G621" s="6">
        <v>5</v>
      </c>
      <c r="H621" s="7">
        <v>30</v>
      </c>
      <c r="I621" s="6">
        <v>5</v>
      </c>
      <c r="J621" s="6">
        <v>2</v>
      </c>
      <c r="K621" s="6">
        <v>1</v>
      </c>
      <c r="L621" s="6">
        <v>15</v>
      </c>
      <c r="M621" s="6">
        <v>247970</v>
      </c>
      <c r="N621" s="6">
        <v>4959400</v>
      </c>
      <c r="O621" s="6">
        <v>66</v>
      </c>
      <c r="P621" s="7">
        <v>5788.9359199999999</v>
      </c>
      <c r="Q621" s="7">
        <v>24341.417799999999</v>
      </c>
      <c r="R621" s="9">
        <f>D621*VLOOKUP(1001,적!$A$4:$D$13,3,FALSE)</f>
        <v>483760.3055584</v>
      </c>
      <c r="S621" s="9">
        <f>D621*VLOOKUP(F621,보스!$A$4:$E$5,4,FALSE)</f>
        <v>17415371.000102401</v>
      </c>
    </row>
    <row r="622" spans="1:19" ht="21.95" customHeight="1">
      <c r="A622" s="6">
        <v>5619</v>
      </c>
      <c r="B622" s="2" t="s">
        <v>770</v>
      </c>
      <c r="C622" s="6">
        <v>619</v>
      </c>
      <c r="D622" s="7">
        <v>243034.84490992001</v>
      </c>
      <c r="E622" s="2" t="s">
        <v>152</v>
      </c>
      <c r="F622" s="6">
        <v>2001</v>
      </c>
      <c r="G622" s="6">
        <v>5</v>
      </c>
      <c r="H622" s="7">
        <v>30</v>
      </c>
      <c r="I622" s="6">
        <v>5</v>
      </c>
      <c r="J622" s="6">
        <v>2</v>
      </c>
      <c r="K622" s="6">
        <v>1</v>
      </c>
      <c r="L622" s="6">
        <v>15</v>
      </c>
      <c r="M622" s="6">
        <v>248376</v>
      </c>
      <c r="N622" s="6">
        <v>4967520</v>
      </c>
      <c r="O622" s="6">
        <v>66</v>
      </c>
      <c r="P622" s="7">
        <v>5805.9304400000001</v>
      </c>
      <c r="Q622" s="7">
        <v>24412.874100000001</v>
      </c>
      <c r="R622" s="9">
        <f>D622*VLOOKUP(1001,적!$A$4:$D$13,3,FALSE)</f>
        <v>486069.68981984002</v>
      </c>
      <c r="S622" s="9">
        <f>D622*VLOOKUP(F622,보스!$A$4:$E$5,4,FALSE)</f>
        <v>17498508.83351424</v>
      </c>
    </row>
    <row r="623" spans="1:19" ht="21.95" customHeight="1">
      <c r="A623" s="6">
        <v>5620</v>
      </c>
      <c r="B623" s="2" t="s">
        <v>771</v>
      </c>
      <c r="C623" s="6">
        <v>620</v>
      </c>
      <c r="D623" s="7">
        <v>244193.82260280001</v>
      </c>
      <c r="E623" s="2" t="s">
        <v>152</v>
      </c>
      <c r="F623" s="6">
        <v>2002</v>
      </c>
      <c r="G623" s="6">
        <v>5</v>
      </c>
      <c r="H623" s="7">
        <v>30</v>
      </c>
      <c r="I623" s="6">
        <v>5</v>
      </c>
      <c r="J623" s="6">
        <v>2</v>
      </c>
      <c r="K623" s="6">
        <v>1</v>
      </c>
      <c r="L623" s="6">
        <v>15</v>
      </c>
      <c r="M623" s="6">
        <v>248782</v>
      </c>
      <c r="N623" s="6">
        <v>4975640</v>
      </c>
      <c r="O623" s="6">
        <v>67</v>
      </c>
      <c r="P623" s="7">
        <v>5822.9495999999999</v>
      </c>
      <c r="Q623" s="7">
        <v>24484.434000000001</v>
      </c>
      <c r="R623" s="9">
        <f>D623*VLOOKUP(1001,적!$A$4:$D$13,3,FALSE)</f>
        <v>488387.64520560001</v>
      </c>
      <c r="S623" s="9">
        <f>D623*VLOOKUP(F623,보스!$A$4:$E$5,4,FALSE)</f>
        <v>17581955.227401599</v>
      </c>
    </row>
    <row r="624" spans="1:19" ht="21.95" customHeight="1">
      <c r="A624" s="6">
        <v>5621</v>
      </c>
      <c r="B624" s="2" t="s">
        <v>772</v>
      </c>
      <c r="C624" s="6">
        <v>621</v>
      </c>
      <c r="D624" s="7">
        <v>245357.09734400001</v>
      </c>
      <c r="E624" s="2" t="s">
        <v>152</v>
      </c>
      <c r="F624" s="6">
        <v>2001</v>
      </c>
      <c r="G624" s="6">
        <v>5</v>
      </c>
      <c r="H624" s="7">
        <v>30</v>
      </c>
      <c r="I624" s="6">
        <v>5</v>
      </c>
      <c r="J624" s="6">
        <v>2</v>
      </c>
      <c r="K624" s="6">
        <v>1</v>
      </c>
      <c r="L624" s="6">
        <v>15</v>
      </c>
      <c r="M624" s="6">
        <v>249188</v>
      </c>
      <c r="N624" s="6">
        <v>4983760</v>
      </c>
      <c r="O624" s="6">
        <v>67</v>
      </c>
      <c r="P624" s="7">
        <v>5839.9934000000003</v>
      </c>
      <c r="Q624" s="7">
        <v>24556.0975</v>
      </c>
      <c r="R624" s="9">
        <f>D624*VLOOKUP(1001,적!$A$4:$D$13,3,FALSE)</f>
        <v>490714.19468800002</v>
      </c>
      <c r="S624" s="9">
        <f>D624*VLOOKUP(F624,보스!$A$4:$E$5,4,FALSE)</f>
        <v>17665711.008768</v>
      </c>
    </row>
    <row r="625" spans="1:19" ht="21.95" customHeight="1">
      <c r="A625" s="6">
        <v>5622</v>
      </c>
      <c r="B625" s="2" t="s">
        <v>773</v>
      </c>
      <c r="C625" s="6">
        <v>622</v>
      </c>
      <c r="D625" s="7">
        <v>246524.68063695999</v>
      </c>
      <c r="E625" s="2" t="s">
        <v>152</v>
      </c>
      <c r="F625" s="6">
        <v>2002</v>
      </c>
      <c r="G625" s="6">
        <v>5</v>
      </c>
      <c r="H625" s="7">
        <v>30</v>
      </c>
      <c r="I625" s="6">
        <v>5</v>
      </c>
      <c r="J625" s="6">
        <v>2</v>
      </c>
      <c r="K625" s="6">
        <v>1</v>
      </c>
      <c r="L625" s="6">
        <v>15</v>
      </c>
      <c r="M625" s="6">
        <v>249594</v>
      </c>
      <c r="N625" s="6">
        <v>4991880</v>
      </c>
      <c r="O625" s="6">
        <v>67</v>
      </c>
      <c r="P625" s="7">
        <v>5857.0618400000003</v>
      </c>
      <c r="Q625" s="7">
        <v>24627.864600000001</v>
      </c>
      <c r="R625" s="9">
        <f>D625*VLOOKUP(1001,적!$A$4:$D$13,3,FALSE)</f>
        <v>493049.36127391999</v>
      </c>
      <c r="S625" s="9">
        <f>D625*VLOOKUP(F625,보스!$A$4:$E$5,4,FALSE)</f>
        <v>17749777.005861118</v>
      </c>
    </row>
    <row r="626" spans="1:19" ht="21.95" customHeight="1">
      <c r="A626" s="6">
        <v>5623</v>
      </c>
      <c r="B626" s="2" t="s">
        <v>774</v>
      </c>
      <c r="C626" s="6">
        <v>623</v>
      </c>
      <c r="D626" s="7">
        <v>247696.58400239999</v>
      </c>
      <c r="E626" s="2" t="s">
        <v>152</v>
      </c>
      <c r="F626" s="6">
        <v>2001</v>
      </c>
      <c r="G626" s="6">
        <v>5</v>
      </c>
      <c r="H626" s="7">
        <v>30</v>
      </c>
      <c r="I626" s="6">
        <v>5</v>
      </c>
      <c r="J626" s="6">
        <v>2</v>
      </c>
      <c r="K626" s="6">
        <v>1</v>
      </c>
      <c r="L626" s="6">
        <v>15</v>
      </c>
      <c r="M626" s="6">
        <v>250001</v>
      </c>
      <c r="N626" s="6">
        <v>5000020</v>
      </c>
      <c r="O626" s="6">
        <v>67</v>
      </c>
      <c r="P626" s="7">
        <v>5874.1549199999999</v>
      </c>
      <c r="Q626" s="7">
        <v>24699.7353</v>
      </c>
      <c r="R626" s="9">
        <f>D626*VLOOKUP(1001,적!$A$4:$D$13,3,FALSE)</f>
        <v>495393.16800479998</v>
      </c>
      <c r="S626" s="9">
        <f>D626*VLOOKUP(F626,보스!$A$4:$E$5,4,FALSE)</f>
        <v>17834154.048172798</v>
      </c>
    </row>
    <row r="627" spans="1:19" ht="21.95" customHeight="1">
      <c r="A627" s="6">
        <v>5624</v>
      </c>
      <c r="B627" s="2" t="s">
        <v>775</v>
      </c>
      <c r="C627" s="6">
        <v>624</v>
      </c>
      <c r="D627" s="7">
        <v>248872.81897831999</v>
      </c>
      <c r="E627" s="2" t="s">
        <v>152</v>
      </c>
      <c r="F627" s="6">
        <v>2002</v>
      </c>
      <c r="G627" s="6">
        <v>5</v>
      </c>
      <c r="H627" s="7">
        <v>30</v>
      </c>
      <c r="I627" s="6">
        <v>5</v>
      </c>
      <c r="J627" s="6">
        <v>2</v>
      </c>
      <c r="K627" s="6">
        <v>1</v>
      </c>
      <c r="L627" s="6">
        <v>15</v>
      </c>
      <c r="M627" s="6">
        <v>250407</v>
      </c>
      <c r="N627" s="6">
        <v>5008140</v>
      </c>
      <c r="O627" s="6">
        <v>67</v>
      </c>
      <c r="P627" s="7">
        <v>5891.2726400000001</v>
      </c>
      <c r="Q627" s="7">
        <v>24771.709599999998</v>
      </c>
      <c r="R627" s="9">
        <f>D627*VLOOKUP(1001,적!$A$4:$D$13,3,FALSE)</f>
        <v>497745.63795663998</v>
      </c>
      <c r="S627" s="9">
        <f>D627*VLOOKUP(F627,보스!$A$4:$E$5,4,FALSE)</f>
        <v>17918842.966439039</v>
      </c>
    </row>
    <row r="628" spans="1:19" ht="21.95" customHeight="1">
      <c r="A628" s="6">
        <v>5625</v>
      </c>
      <c r="B628" s="2" t="s">
        <v>776</v>
      </c>
      <c r="C628" s="6">
        <v>625</v>
      </c>
      <c r="D628" s="7">
        <v>250053.39712000001</v>
      </c>
      <c r="E628" s="2" t="s">
        <v>152</v>
      </c>
      <c r="F628" s="6">
        <v>2001</v>
      </c>
      <c r="G628" s="6">
        <v>5</v>
      </c>
      <c r="H628" s="7">
        <v>30</v>
      </c>
      <c r="I628" s="6">
        <v>5</v>
      </c>
      <c r="J628" s="6">
        <v>2</v>
      </c>
      <c r="K628" s="6">
        <v>1</v>
      </c>
      <c r="L628" s="6">
        <v>15</v>
      </c>
      <c r="M628" s="6">
        <v>250813</v>
      </c>
      <c r="N628" s="6">
        <v>5016260</v>
      </c>
      <c r="O628" s="6">
        <v>67</v>
      </c>
      <c r="P628" s="7">
        <v>5908.415</v>
      </c>
      <c r="Q628" s="7">
        <v>24843.787499999999</v>
      </c>
      <c r="R628" s="9">
        <f>D628*VLOOKUP(1001,적!$A$4:$D$13,3,FALSE)</f>
        <v>500106.79424000002</v>
      </c>
      <c r="S628" s="9">
        <f>D628*VLOOKUP(F628,보스!$A$4:$E$5,4,FALSE)</f>
        <v>18003844.592640001</v>
      </c>
    </row>
    <row r="629" spans="1:19" ht="21.95" customHeight="1">
      <c r="A629" s="6">
        <v>5626</v>
      </c>
      <c r="B629" s="2" t="s">
        <v>777</v>
      </c>
      <c r="C629" s="6">
        <v>626</v>
      </c>
      <c r="D629" s="7">
        <v>251238.33</v>
      </c>
      <c r="E629" s="2" t="s">
        <v>152</v>
      </c>
      <c r="F629" s="6">
        <v>2002</v>
      </c>
      <c r="G629" s="6">
        <v>5</v>
      </c>
      <c r="H629" s="7">
        <v>30</v>
      </c>
      <c r="I629" s="6">
        <v>5</v>
      </c>
      <c r="J629" s="6">
        <v>2</v>
      </c>
      <c r="K629" s="6">
        <v>1</v>
      </c>
      <c r="L629" s="6">
        <v>15</v>
      </c>
      <c r="M629" s="6">
        <v>251219</v>
      </c>
      <c r="N629" s="6">
        <v>5024380</v>
      </c>
      <c r="O629" s="6">
        <v>67</v>
      </c>
      <c r="P629" s="7">
        <v>5925.5820000000003</v>
      </c>
      <c r="Q629" s="7">
        <v>24915.969000000001</v>
      </c>
      <c r="R629" s="9">
        <f>D629*VLOOKUP(1001,적!$A$4:$D$13,3,FALSE)</f>
        <v>502476.66</v>
      </c>
      <c r="S629" s="9">
        <f>D629*VLOOKUP(F629,보스!$A$4:$E$5,4,FALSE)</f>
        <v>18089159.759999998</v>
      </c>
    </row>
    <row r="630" spans="1:19" ht="21.95" customHeight="1">
      <c r="A630" s="6">
        <v>5627</v>
      </c>
      <c r="B630" s="2" t="s">
        <v>778</v>
      </c>
      <c r="C630" s="6">
        <v>627</v>
      </c>
      <c r="D630" s="7">
        <v>252427.62920816001</v>
      </c>
      <c r="E630" s="2" t="s">
        <v>152</v>
      </c>
      <c r="F630" s="6">
        <v>2001</v>
      </c>
      <c r="G630" s="6">
        <v>5</v>
      </c>
      <c r="H630" s="7">
        <v>30</v>
      </c>
      <c r="I630" s="6">
        <v>5</v>
      </c>
      <c r="J630" s="6">
        <v>2</v>
      </c>
      <c r="K630" s="6">
        <v>1</v>
      </c>
      <c r="L630" s="6">
        <v>15</v>
      </c>
      <c r="M630" s="6">
        <v>251625</v>
      </c>
      <c r="N630" s="6">
        <v>5032500</v>
      </c>
      <c r="O630" s="6">
        <v>67</v>
      </c>
      <c r="P630" s="7">
        <v>5942.7736400000003</v>
      </c>
      <c r="Q630" s="7">
        <v>24988.254099999998</v>
      </c>
      <c r="R630" s="9">
        <f>D630*VLOOKUP(1001,적!$A$4:$D$13,3,FALSE)</f>
        <v>504855.25841632002</v>
      </c>
      <c r="S630" s="9">
        <f>D630*VLOOKUP(F630,보스!$A$4:$E$5,4,FALSE)</f>
        <v>18174789.30298752</v>
      </c>
    </row>
    <row r="631" spans="1:19" ht="21.95" customHeight="1">
      <c r="A631" s="6">
        <v>5628</v>
      </c>
      <c r="B631" s="2" t="s">
        <v>779</v>
      </c>
      <c r="C631" s="6">
        <v>628</v>
      </c>
      <c r="D631" s="7">
        <v>253621.30635160001</v>
      </c>
      <c r="E631" s="2" t="s">
        <v>152</v>
      </c>
      <c r="F631" s="6">
        <v>2002</v>
      </c>
      <c r="G631" s="6">
        <v>5</v>
      </c>
      <c r="H631" s="7">
        <v>30</v>
      </c>
      <c r="I631" s="6">
        <v>5</v>
      </c>
      <c r="J631" s="6">
        <v>2</v>
      </c>
      <c r="K631" s="6">
        <v>1</v>
      </c>
      <c r="L631" s="6">
        <v>15</v>
      </c>
      <c r="M631" s="6">
        <v>252031</v>
      </c>
      <c r="N631" s="6">
        <v>5040620</v>
      </c>
      <c r="O631" s="6">
        <v>67</v>
      </c>
      <c r="P631" s="7">
        <v>5959.98992</v>
      </c>
      <c r="Q631" s="7">
        <v>25060.642800000001</v>
      </c>
      <c r="R631" s="9">
        <f>D631*VLOOKUP(1001,적!$A$4:$D$13,3,FALSE)</f>
        <v>507242.61270320002</v>
      </c>
      <c r="S631" s="9">
        <f>D631*VLOOKUP(F631,보스!$A$4:$E$5,4,FALSE)</f>
        <v>18260734.057315201</v>
      </c>
    </row>
    <row r="632" spans="1:19" ht="21.95" customHeight="1">
      <c r="A632" s="6">
        <v>5629</v>
      </c>
      <c r="B632" s="2" t="s">
        <v>780</v>
      </c>
      <c r="C632" s="6">
        <v>629</v>
      </c>
      <c r="D632" s="7">
        <v>254819.37305472</v>
      </c>
      <c r="E632" s="2" t="s">
        <v>152</v>
      </c>
      <c r="F632" s="6">
        <v>2001</v>
      </c>
      <c r="G632" s="6">
        <v>5</v>
      </c>
      <c r="H632" s="7">
        <v>30</v>
      </c>
      <c r="I632" s="6">
        <v>5</v>
      </c>
      <c r="J632" s="6">
        <v>2</v>
      </c>
      <c r="K632" s="6">
        <v>1</v>
      </c>
      <c r="L632" s="6">
        <v>15</v>
      </c>
      <c r="M632" s="6">
        <v>252437</v>
      </c>
      <c r="N632" s="6">
        <v>5048740</v>
      </c>
      <c r="O632" s="6">
        <v>67</v>
      </c>
      <c r="P632" s="7">
        <v>5977.2308400000002</v>
      </c>
      <c r="Q632" s="7">
        <v>25133.1351</v>
      </c>
      <c r="R632" s="9">
        <f>D632*VLOOKUP(1001,적!$A$4:$D$13,3,FALSE)</f>
        <v>509638.74610943999</v>
      </c>
      <c r="S632" s="9">
        <f>D632*VLOOKUP(F632,보스!$A$4:$E$5,4,FALSE)</f>
        <v>18346994.85993984</v>
      </c>
    </row>
    <row r="633" spans="1:19" ht="21.95" customHeight="1">
      <c r="A633" s="6">
        <v>5630</v>
      </c>
      <c r="B633" s="2" t="s">
        <v>781</v>
      </c>
      <c r="C633" s="6">
        <v>630</v>
      </c>
      <c r="D633" s="7">
        <v>256021.8409592</v>
      </c>
      <c r="E633" s="2" t="s">
        <v>152</v>
      </c>
      <c r="F633" s="6">
        <v>2002</v>
      </c>
      <c r="G633" s="6">
        <v>5</v>
      </c>
      <c r="H633" s="7">
        <v>30</v>
      </c>
      <c r="I633" s="6">
        <v>5</v>
      </c>
      <c r="J633" s="6">
        <v>2</v>
      </c>
      <c r="K633" s="6">
        <v>1</v>
      </c>
      <c r="L633" s="6">
        <v>15</v>
      </c>
      <c r="M633" s="6">
        <v>252843</v>
      </c>
      <c r="N633" s="6">
        <v>5056860</v>
      </c>
      <c r="O633" s="6">
        <v>68</v>
      </c>
      <c r="P633" s="7">
        <v>5994.4964</v>
      </c>
      <c r="Q633" s="7">
        <v>25205.731</v>
      </c>
      <c r="R633" s="9">
        <f>D633*VLOOKUP(1001,적!$A$4:$D$13,3,FALSE)</f>
        <v>512043.68191839999</v>
      </c>
      <c r="S633" s="9">
        <f>D633*VLOOKUP(F633,보스!$A$4:$E$5,4,FALSE)</f>
        <v>18433572.549062401</v>
      </c>
    </row>
    <row r="634" spans="1:19" ht="21.95" customHeight="1">
      <c r="A634" s="6">
        <v>5631</v>
      </c>
      <c r="B634" s="2" t="s">
        <v>782</v>
      </c>
      <c r="C634" s="6">
        <v>631</v>
      </c>
      <c r="D634" s="7">
        <v>257228.721724</v>
      </c>
      <c r="E634" s="2" t="s">
        <v>152</v>
      </c>
      <c r="F634" s="6">
        <v>2001</v>
      </c>
      <c r="G634" s="6">
        <v>5</v>
      </c>
      <c r="H634" s="7">
        <v>30</v>
      </c>
      <c r="I634" s="6">
        <v>5</v>
      </c>
      <c r="J634" s="6">
        <v>2</v>
      </c>
      <c r="K634" s="6">
        <v>1</v>
      </c>
      <c r="L634" s="6">
        <v>15</v>
      </c>
      <c r="M634" s="6">
        <v>253250</v>
      </c>
      <c r="N634" s="6">
        <v>5065000</v>
      </c>
      <c r="O634" s="6">
        <v>68</v>
      </c>
      <c r="P634" s="7">
        <v>6011.7866000000004</v>
      </c>
      <c r="Q634" s="7">
        <v>25278.430499999999</v>
      </c>
      <c r="R634" s="9">
        <f>D634*VLOOKUP(1001,적!$A$4:$D$13,3,FALSE)</f>
        <v>514457.44344800001</v>
      </c>
      <c r="S634" s="9">
        <f>D634*VLOOKUP(F634,보스!$A$4:$E$5,4,FALSE)</f>
        <v>18520467.964127999</v>
      </c>
    </row>
    <row r="635" spans="1:19" ht="21.95" customHeight="1">
      <c r="A635" s="6">
        <v>5632</v>
      </c>
      <c r="B635" s="2" t="s">
        <v>783</v>
      </c>
      <c r="C635" s="6">
        <v>632</v>
      </c>
      <c r="D635" s="7">
        <v>258440.02702536</v>
      </c>
      <c r="E635" s="2" t="s">
        <v>152</v>
      </c>
      <c r="F635" s="6">
        <v>2002</v>
      </c>
      <c r="G635" s="6">
        <v>5</v>
      </c>
      <c r="H635" s="7">
        <v>30</v>
      </c>
      <c r="I635" s="6">
        <v>5</v>
      </c>
      <c r="J635" s="6">
        <v>2</v>
      </c>
      <c r="K635" s="6">
        <v>1</v>
      </c>
      <c r="L635" s="6">
        <v>15</v>
      </c>
      <c r="M635" s="6">
        <v>253656</v>
      </c>
      <c r="N635" s="6">
        <v>5073120</v>
      </c>
      <c r="O635" s="6">
        <v>68</v>
      </c>
      <c r="P635" s="7">
        <v>6029.1014400000004</v>
      </c>
      <c r="Q635" s="7">
        <v>25351.2336</v>
      </c>
      <c r="R635" s="9">
        <f>D635*VLOOKUP(1001,적!$A$4:$D$13,3,FALSE)</f>
        <v>516880.05405072001</v>
      </c>
      <c r="S635" s="9">
        <f>D635*VLOOKUP(F635,보스!$A$4:$E$5,4,FALSE)</f>
        <v>18607681.94582592</v>
      </c>
    </row>
    <row r="636" spans="1:19" ht="21.95" customHeight="1">
      <c r="A636" s="6">
        <v>5633</v>
      </c>
      <c r="B636" s="2" t="s">
        <v>784</v>
      </c>
      <c r="C636" s="6">
        <v>633</v>
      </c>
      <c r="D636" s="7">
        <v>259655.7685568</v>
      </c>
      <c r="E636" s="2" t="s">
        <v>152</v>
      </c>
      <c r="F636" s="6">
        <v>2001</v>
      </c>
      <c r="G636" s="6">
        <v>5</v>
      </c>
      <c r="H636" s="7">
        <v>30</v>
      </c>
      <c r="I636" s="6">
        <v>5</v>
      </c>
      <c r="J636" s="6">
        <v>2</v>
      </c>
      <c r="K636" s="6">
        <v>1</v>
      </c>
      <c r="L636" s="6">
        <v>15</v>
      </c>
      <c r="M636" s="6">
        <v>254062</v>
      </c>
      <c r="N636" s="6">
        <v>5081240</v>
      </c>
      <c r="O636" s="6">
        <v>68</v>
      </c>
      <c r="P636" s="7">
        <v>6046.44092</v>
      </c>
      <c r="Q636" s="7">
        <v>25424.140299999999</v>
      </c>
      <c r="R636" s="9">
        <f>D636*VLOOKUP(1001,적!$A$4:$D$13,3,FALSE)</f>
        <v>519311.5371136</v>
      </c>
      <c r="S636" s="9">
        <f>D636*VLOOKUP(F636,보스!$A$4:$E$5,4,FALSE)</f>
        <v>18695215.3360896</v>
      </c>
    </row>
    <row r="637" spans="1:19" ht="21.95" customHeight="1">
      <c r="A637" s="6">
        <v>5634</v>
      </c>
      <c r="B637" s="2" t="s">
        <v>785</v>
      </c>
      <c r="C637" s="6">
        <v>634</v>
      </c>
      <c r="D637" s="7">
        <v>260875.95802912</v>
      </c>
      <c r="E637" s="2" t="s">
        <v>152</v>
      </c>
      <c r="F637" s="6">
        <v>2002</v>
      </c>
      <c r="G637" s="6">
        <v>5</v>
      </c>
      <c r="H637" s="7">
        <v>30</v>
      </c>
      <c r="I637" s="6">
        <v>5</v>
      </c>
      <c r="J637" s="6">
        <v>2</v>
      </c>
      <c r="K637" s="6">
        <v>1</v>
      </c>
      <c r="L637" s="6">
        <v>15</v>
      </c>
      <c r="M637" s="6">
        <v>254468</v>
      </c>
      <c r="N637" s="6">
        <v>5089360</v>
      </c>
      <c r="O637" s="6">
        <v>68</v>
      </c>
      <c r="P637" s="7">
        <v>6063.8050400000002</v>
      </c>
      <c r="Q637" s="7">
        <v>25497.150600000001</v>
      </c>
      <c r="R637" s="9">
        <f>D637*VLOOKUP(1001,적!$A$4:$D$13,3,FALSE)</f>
        <v>521751.91605823999</v>
      </c>
      <c r="S637" s="9">
        <f>D637*VLOOKUP(F637,보스!$A$4:$E$5,4,FALSE)</f>
        <v>18783068.978096642</v>
      </c>
    </row>
    <row r="638" spans="1:19" ht="21.95" customHeight="1">
      <c r="A638" s="6">
        <v>5635</v>
      </c>
      <c r="B638" s="2" t="s">
        <v>786</v>
      </c>
      <c r="C638" s="6">
        <v>635</v>
      </c>
      <c r="D638" s="7">
        <v>262100.60717040001</v>
      </c>
      <c r="E638" s="2" t="s">
        <v>152</v>
      </c>
      <c r="F638" s="6">
        <v>2001</v>
      </c>
      <c r="G638" s="6">
        <v>5</v>
      </c>
      <c r="H638" s="7">
        <v>30</v>
      </c>
      <c r="I638" s="6">
        <v>5</v>
      </c>
      <c r="J638" s="6">
        <v>2</v>
      </c>
      <c r="K638" s="6">
        <v>1</v>
      </c>
      <c r="L638" s="6">
        <v>15</v>
      </c>
      <c r="M638" s="6">
        <v>254874</v>
      </c>
      <c r="N638" s="6">
        <v>5097480</v>
      </c>
      <c r="O638" s="6">
        <v>68</v>
      </c>
      <c r="P638" s="7">
        <v>6081.1938</v>
      </c>
      <c r="Q638" s="7">
        <v>25570.264500000001</v>
      </c>
      <c r="R638" s="9">
        <f>D638*VLOOKUP(1001,적!$A$4:$D$13,3,FALSE)</f>
        <v>524201.21434080001</v>
      </c>
      <c r="S638" s="9">
        <f>D638*VLOOKUP(F638,보스!$A$4:$E$5,4,FALSE)</f>
        <v>18871243.7162688</v>
      </c>
    </row>
    <row r="639" spans="1:19" ht="21.95" customHeight="1">
      <c r="A639" s="6">
        <v>5636</v>
      </c>
      <c r="B639" s="2" t="s">
        <v>787</v>
      </c>
      <c r="C639" s="6">
        <v>636</v>
      </c>
      <c r="D639" s="7">
        <v>263329.72772600001</v>
      </c>
      <c r="E639" s="2" t="s">
        <v>152</v>
      </c>
      <c r="F639" s="6">
        <v>2002</v>
      </c>
      <c r="G639" s="6">
        <v>5</v>
      </c>
      <c r="H639" s="7">
        <v>30</v>
      </c>
      <c r="I639" s="6">
        <v>5</v>
      </c>
      <c r="J639" s="6">
        <v>2</v>
      </c>
      <c r="K639" s="6">
        <v>1</v>
      </c>
      <c r="L639" s="6">
        <v>15</v>
      </c>
      <c r="M639" s="6">
        <v>255280</v>
      </c>
      <c r="N639" s="6">
        <v>5105600</v>
      </c>
      <c r="O639" s="6">
        <v>68</v>
      </c>
      <c r="P639" s="7">
        <v>6098.6072000000004</v>
      </c>
      <c r="Q639" s="7">
        <v>25643.482</v>
      </c>
      <c r="R639" s="9">
        <f>D639*VLOOKUP(1001,적!$A$4:$D$13,3,FALSE)</f>
        <v>526659.45545200002</v>
      </c>
      <c r="S639" s="9">
        <f>D639*VLOOKUP(F639,보스!$A$4:$E$5,4,FALSE)</f>
        <v>18959740.396272</v>
      </c>
    </row>
    <row r="640" spans="1:19" ht="21.95" customHeight="1">
      <c r="A640" s="6">
        <v>5637</v>
      </c>
      <c r="B640" s="2" t="s">
        <v>788</v>
      </c>
      <c r="C640" s="6">
        <v>637</v>
      </c>
      <c r="D640" s="7">
        <v>264563.33145856002</v>
      </c>
      <c r="E640" s="2" t="s">
        <v>152</v>
      </c>
      <c r="F640" s="6">
        <v>2001</v>
      </c>
      <c r="G640" s="6">
        <v>5</v>
      </c>
      <c r="H640" s="7">
        <v>30</v>
      </c>
      <c r="I640" s="6">
        <v>5</v>
      </c>
      <c r="J640" s="6">
        <v>2</v>
      </c>
      <c r="K640" s="6">
        <v>1</v>
      </c>
      <c r="L640" s="6">
        <v>15</v>
      </c>
      <c r="M640" s="6">
        <v>255686</v>
      </c>
      <c r="N640" s="6">
        <v>5113720</v>
      </c>
      <c r="O640" s="6">
        <v>68</v>
      </c>
      <c r="P640" s="7">
        <v>6116.0452400000004</v>
      </c>
      <c r="Q640" s="7">
        <v>25716.803100000001</v>
      </c>
      <c r="R640" s="9">
        <f>D640*VLOOKUP(1001,적!$A$4:$D$13,3,FALSE)</f>
        <v>529126.66291712003</v>
      </c>
      <c r="S640" s="9">
        <f>D640*VLOOKUP(F640,보스!$A$4:$E$5,4,FALSE)</f>
        <v>19048559.865016323</v>
      </c>
    </row>
    <row r="641" spans="1:19" ht="21.95" customHeight="1">
      <c r="A641" s="6">
        <v>5638</v>
      </c>
      <c r="B641" s="2" t="s">
        <v>789</v>
      </c>
      <c r="C641" s="6">
        <v>638</v>
      </c>
      <c r="D641" s="7">
        <v>265801.43014800001</v>
      </c>
      <c r="E641" s="2" t="s">
        <v>152</v>
      </c>
      <c r="F641" s="6">
        <v>2002</v>
      </c>
      <c r="G641" s="6">
        <v>5</v>
      </c>
      <c r="H641" s="7">
        <v>30</v>
      </c>
      <c r="I641" s="6">
        <v>5</v>
      </c>
      <c r="J641" s="6">
        <v>2</v>
      </c>
      <c r="K641" s="6">
        <v>1</v>
      </c>
      <c r="L641" s="6">
        <v>15</v>
      </c>
      <c r="M641" s="6">
        <v>256092</v>
      </c>
      <c r="N641" s="6">
        <v>5121840</v>
      </c>
      <c r="O641" s="6">
        <v>68</v>
      </c>
      <c r="P641" s="7">
        <v>6133.50792</v>
      </c>
      <c r="Q641" s="7">
        <v>25790.227800000001</v>
      </c>
      <c r="R641" s="9">
        <f>D641*VLOOKUP(1001,적!$A$4:$D$13,3,FALSE)</f>
        <v>531602.86029600003</v>
      </c>
      <c r="S641" s="9">
        <f>D641*VLOOKUP(F641,보스!$A$4:$E$5,4,FALSE)</f>
        <v>19137702.970656</v>
      </c>
    </row>
    <row r="642" spans="1:19" ht="21.95" customHeight="1">
      <c r="A642" s="6">
        <v>5639</v>
      </c>
      <c r="B642" s="2" t="s">
        <v>790</v>
      </c>
      <c r="C642" s="6">
        <v>639</v>
      </c>
      <c r="D642" s="7">
        <v>267044.03559152002</v>
      </c>
      <c r="E642" s="2" t="s">
        <v>152</v>
      </c>
      <c r="F642" s="6">
        <v>2001</v>
      </c>
      <c r="G642" s="6">
        <v>5</v>
      </c>
      <c r="H642" s="7">
        <v>30</v>
      </c>
      <c r="I642" s="6">
        <v>5</v>
      </c>
      <c r="J642" s="6">
        <v>2</v>
      </c>
      <c r="K642" s="6">
        <v>1</v>
      </c>
      <c r="L642" s="6">
        <v>15</v>
      </c>
      <c r="M642" s="6">
        <v>256498</v>
      </c>
      <c r="N642" s="6">
        <v>5129960</v>
      </c>
      <c r="O642" s="6">
        <v>68</v>
      </c>
      <c r="P642" s="7">
        <v>6150.9952400000002</v>
      </c>
      <c r="Q642" s="7">
        <v>25863.756099999999</v>
      </c>
      <c r="R642" s="9">
        <f>D642*VLOOKUP(1001,적!$A$4:$D$13,3,FALSE)</f>
        <v>534088.07118304004</v>
      </c>
      <c r="S642" s="9">
        <f>D642*VLOOKUP(F642,보스!$A$4:$E$5,4,FALSE)</f>
        <v>19227170.56258944</v>
      </c>
    </row>
    <row r="643" spans="1:19" ht="21.95" customHeight="1">
      <c r="A643" s="6">
        <v>5640</v>
      </c>
      <c r="B643" s="2" t="s">
        <v>791</v>
      </c>
      <c r="C643" s="6">
        <v>640</v>
      </c>
      <c r="D643" s="7">
        <v>268291.15960359998</v>
      </c>
      <c r="E643" s="2" t="s">
        <v>152</v>
      </c>
      <c r="F643" s="6">
        <v>2002</v>
      </c>
      <c r="G643" s="6">
        <v>5</v>
      </c>
      <c r="H643" s="7">
        <v>30</v>
      </c>
      <c r="I643" s="6">
        <v>5</v>
      </c>
      <c r="J643" s="6">
        <v>2</v>
      </c>
      <c r="K643" s="6">
        <v>1</v>
      </c>
      <c r="L643" s="6">
        <v>15</v>
      </c>
      <c r="M643" s="6">
        <v>256904</v>
      </c>
      <c r="N643" s="6">
        <v>5138080</v>
      </c>
      <c r="O643" s="6">
        <v>69</v>
      </c>
      <c r="P643" s="7">
        <v>6168.5072</v>
      </c>
      <c r="Q643" s="7">
        <v>25937.387999999999</v>
      </c>
      <c r="R643" s="9">
        <f>D643*VLOOKUP(1001,적!$A$4:$D$13,3,FALSE)</f>
        <v>536582.31920719997</v>
      </c>
      <c r="S643" s="9">
        <f>D643*VLOOKUP(F643,보스!$A$4:$E$5,4,FALSE)</f>
        <v>19316963.491459198</v>
      </c>
    </row>
    <row r="644" spans="1:19" ht="21.95" customHeight="1">
      <c r="A644" s="6">
        <v>5641</v>
      </c>
      <c r="B644" s="2" t="s">
        <v>792</v>
      </c>
      <c r="C644" s="6">
        <v>641</v>
      </c>
      <c r="D644" s="7">
        <v>269542.81401600002</v>
      </c>
      <c r="E644" s="2" t="s">
        <v>152</v>
      </c>
      <c r="F644" s="6">
        <v>2001</v>
      </c>
      <c r="G644" s="6">
        <v>5</v>
      </c>
      <c r="H644" s="7">
        <v>30</v>
      </c>
      <c r="I644" s="6">
        <v>5</v>
      </c>
      <c r="J644" s="6">
        <v>2</v>
      </c>
      <c r="K644" s="6">
        <v>1</v>
      </c>
      <c r="L644" s="6">
        <v>15</v>
      </c>
      <c r="M644" s="6">
        <v>257311</v>
      </c>
      <c r="N644" s="6">
        <v>5146220</v>
      </c>
      <c r="O644" s="6">
        <v>69</v>
      </c>
      <c r="P644" s="7">
        <v>6186.0438000000004</v>
      </c>
      <c r="Q644" s="7">
        <v>26011.123500000002</v>
      </c>
      <c r="R644" s="9">
        <f>D644*VLOOKUP(1001,적!$A$4:$D$13,3,FALSE)</f>
        <v>539085.62803200004</v>
      </c>
      <c r="S644" s="9">
        <f>D644*VLOOKUP(F644,보스!$A$4:$E$5,4,FALSE)</f>
        <v>19407082.609152</v>
      </c>
    </row>
    <row r="645" spans="1:19" ht="21.95" customHeight="1">
      <c r="A645" s="6">
        <v>5642</v>
      </c>
      <c r="B645" s="2" t="s">
        <v>793</v>
      </c>
      <c r="C645" s="6">
        <v>642</v>
      </c>
      <c r="D645" s="7">
        <v>270799.01067776</v>
      </c>
      <c r="E645" s="2" t="s">
        <v>152</v>
      </c>
      <c r="F645" s="6">
        <v>2002</v>
      </c>
      <c r="G645" s="6">
        <v>5</v>
      </c>
      <c r="H645" s="7">
        <v>30</v>
      </c>
      <c r="I645" s="6">
        <v>5</v>
      </c>
      <c r="J645" s="6">
        <v>2</v>
      </c>
      <c r="K645" s="6">
        <v>1</v>
      </c>
      <c r="L645" s="6">
        <v>15</v>
      </c>
      <c r="M645" s="6">
        <v>257717</v>
      </c>
      <c r="N645" s="6">
        <v>5154340</v>
      </c>
      <c r="O645" s="6">
        <v>69</v>
      </c>
      <c r="P645" s="7">
        <v>6203.6050400000004</v>
      </c>
      <c r="Q645" s="7">
        <v>26084.962599999999</v>
      </c>
      <c r="R645" s="9">
        <f>D645*VLOOKUP(1001,적!$A$4:$D$13,3,FALSE)</f>
        <v>541598.02135552</v>
      </c>
      <c r="S645" s="9">
        <f>D645*VLOOKUP(F645,보스!$A$4:$E$5,4,FALSE)</f>
        <v>19497528.76879872</v>
      </c>
    </row>
    <row r="646" spans="1:19" ht="21.95" customHeight="1">
      <c r="A646" s="6">
        <v>5643</v>
      </c>
      <c r="B646" s="2" t="s">
        <v>794</v>
      </c>
      <c r="C646" s="6">
        <v>643</v>
      </c>
      <c r="D646" s="7">
        <v>272059.76145519997</v>
      </c>
      <c r="E646" s="2" t="s">
        <v>152</v>
      </c>
      <c r="F646" s="6">
        <v>2001</v>
      </c>
      <c r="G646" s="6">
        <v>5</v>
      </c>
      <c r="H646" s="7">
        <v>30</v>
      </c>
      <c r="I646" s="6">
        <v>5</v>
      </c>
      <c r="J646" s="6">
        <v>2</v>
      </c>
      <c r="K646" s="6">
        <v>1</v>
      </c>
      <c r="L646" s="6">
        <v>15</v>
      </c>
      <c r="M646" s="6">
        <v>258123</v>
      </c>
      <c r="N646" s="6">
        <v>5162460</v>
      </c>
      <c r="O646" s="6">
        <v>69</v>
      </c>
      <c r="P646" s="7">
        <v>6221.19092</v>
      </c>
      <c r="Q646" s="7">
        <v>26158.905299999999</v>
      </c>
      <c r="R646" s="9">
        <f>D646*VLOOKUP(1001,적!$A$4:$D$13,3,FALSE)</f>
        <v>544119.52291039994</v>
      </c>
      <c r="S646" s="9">
        <f>D646*VLOOKUP(F646,보스!$A$4:$E$5,4,FALSE)</f>
        <v>19588302.824774399</v>
      </c>
    </row>
    <row r="647" spans="1:19" ht="21.95" customHeight="1">
      <c r="A647" s="6">
        <v>5644</v>
      </c>
      <c r="B647" s="2" t="s">
        <v>795</v>
      </c>
      <c r="C647" s="6">
        <v>644</v>
      </c>
      <c r="D647" s="7">
        <v>273325.07823192002</v>
      </c>
      <c r="E647" s="2" t="s">
        <v>152</v>
      </c>
      <c r="F647" s="6">
        <v>2002</v>
      </c>
      <c r="G647" s="6">
        <v>5</v>
      </c>
      <c r="H647" s="7">
        <v>30</v>
      </c>
      <c r="I647" s="6">
        <v>5</v>
      </c>
      <c r="J647" s="6">
        <v>2</v>
      </c>
      <c r="K647" s="6">
        <v>1</v>
      </c>
      <c r="L647" s="6">
        <v>15</v>
      </c>
      <c r="M647" s="6">
        <v>258529</v>
      </c>
      <c r="N647" s="6">
        <v>5170580</v>
      </c>
      <c r="O647" s="6">
        <v>69</v>
      </c>
      <c r="P647" s="7">
        <v>6238.8014400000002</v>
      </c>
      <c r="Q647" s="7">
        <v>26232.9516</v>
      </c>
      <c r="R647" s="9">
        <f>D647*VLOOKUP(1001,적!$A$4:$D$13,3,FALSE)</f>
        <v>546650.15646384005</v>
      </c>
      <c r="S647" s="9">
        <f>D647*VLOOKUP(F647,보스!$A$4:$E$5,4,FALSE)</f>
        <v>19679405.632698242</v>
      </c>
    </row>
    <row r="648" spans="1:19" ht="21.95" customHeight="1">
      <c r="A648" s="6">
        <v>5645</v>
      </c>
      <c r="B648" s="2" t="s">
        <v>796</v>
      </c>
      <c r="C648" s="6">
        <v>645</v>
      </c>
      <c r="D648" s="7">
        <v>274594.9729088</v>
      </c>
      <c r="E648" s="2" t="s">
        <v>152</v>
      </c>
      <c r="F648" s="6">
        <v>2001</v>
      </c>
      <c r="G648" s="6">
        <v>5</v>
      </c>
      <c r="H648" s="7">
        <v>30</v>
      </c>
      <c r="I648" s="6">
        <v>5</v>
      </c>
      <c r="J648" s="6">
        <v>2</v>
      </c>
      <c r="K648" s="6">
        <v>1</v>
      </c>
      <c r="L648" s="6">
        <v>15</v>
      </c>
      <c r="M648" s="6">
        <v>258935</v>
      </c>
      <c r="N648" s="6">
        <v>5178700</v>
      </c>
      <c r="O648" s="6">
        <v>69</v>
      </c>
      <c r="P648" s="7">
        <v>6256.4366</v>
      </c>
      <c r="Q648" s="7">
        <v>26307.101500000001</v>
      </c>
      <c r="R648" s="9">
        <f>D648*VLOOKUP(1001,적!$A$4:$D$13,3,FALSE)</f>
        <v>549189.9458176</v>
      </c>
      <c r="S648" s="9">
        <f>D648*VLOOKUP(F648,보스!$A$4:$E$5,4,FALSE)</f>
        <v>19770838.0494336</v>
      </c>
    </row>
    <row r="649" spans="1:19" ht="21.95" customHeight="1">
      <c r="A649" s="6">
        <v>5646</v>
      </c>
      <c r="B649" s="2" t="s">
        <v>797</v>
      </c>
      <c r="C649" s="6">
        <v>646</v>
      </c>
      <c r="D649" s="7">
        <v>275869.45740399999</v>
      </c>
      <c r="E649" s="2" t="s">
        <v>152</v>
      </c>
      <c r="F649" s="6">
        <v>2002</v>
      </c>
      <c r="G649" s="6">
        <v>5</v>
      </c>
      <c r="H649" s="7">
        <v>30</v>
      </c>
      <c r="I649" s="6">
        <v>5</v>
      </c>
      <c r="J649" s="6">
        <v>2</v>
      </c>
      <c r="K649" s="6">
        <v>1</v>
      </c>
      <c r="L649" s="6">
        <v>15</v>
      </c>
      <c r="M649" s="6">
        <v>259341</v>
      </c>
      <c r="N649" s="6">
        <v>5186820</v>
      </c>
      <c r="O649" s="6">
        <v>69</v>
      </c>
      <c r="P649" s="7">
        <v>6274.0964000000004</v>
      </c>
      <c r="Q649" s="7">
        <v>26381.355</v>
      </c>
      <c r="R649" s="9">
        <f>D649*VLOOKUP(1001,적!$A$4:$D$13,3,FALSE)</f>
        <v>551738.91480799997</v>
      </c>
      <c r="S649" s="9">
        <f>D649*VLOOKUP(F649,보스!$A$4:$E$5,4,FALSE)</f>
        <v>19862600.933087997</v>
      </c>
    </row>
    <row r="650" spans="1:19" ht="21.95" customHeight="1">
      <c r="A650" s="6">
        <v>5647</v>
      </c>
      <c r="B650" s="2" t="s">
        <v>798</v>
      </c>
      <c r="C650" s="6">
        <v>647</v>
      </c>
      <c r="D650" s="7">
        <v>277148.54365295998</v>
      </c>
      <c r="E650" s="2" t="s">
        <v>152</v>
      </c>
      <c r="F650" s="6">
        <v>2001</v>
      </c>
      <c r="G650" s="6">
        <v>5</v>
      </c>
      <c r="H650" s="7">
        <v>30</v>
      </c>
      <c r="I650" s="6">
        <v>5</v>
      </c>
      <c r="J650" s="6">
        <v>2</v>
      </c>
      <c r="K650" s="6">
        <v>1</v>
      </c>
      <c r="L650" s="6">
        <v>15</v>
      </c>
      <c r="M650" s="6">
        <v>259747</v>
      </c>
      <c r="N650" s="6">
        <v>5194940</v>
      </c>
      <c r="O650" s="6">
        <v>69</v>
      </c>
      <c r="P650" s="7">
        <v>6291.7808400000004</v>
      </c>
      <c r="Q650" s="7">
        <v>26455.712100000001</v>
      </c>
      <c r="R650" s="9">
        <f>D650*VLOOKUP(1001,적!$A$4:$D$13,3,FALSE)</f>
        <v>554297.08730591997</v>
      </c>
      <c r="S650" s="9">
        <f>D650*VLOOKUP(F650,보스!$A$4:$E$5,4,FALSE)</f>
        <v>19954695.14301312</v>
      </c>
    </row>
    <row r="651" spans="1:19" ht="21.95" customHeight="1">
      <c r="A651" s="6">
        <v>5648</v>
      </c>
      <c r="B651" s="2" t="s">
        <v>799</v>
      </c>
      <c r="C651" s="6">
        <v>648</v>
      </c>
      <c r="D651" s="7">
        <v>278432.24360839999</v>
      </c>
      <c r="E651" s="2" t="s">
        <v>152</v>
      </c>
      <c r="F651" s="6">
        <v>2002</v>
      </c>
      <c r="G651" s="6">
        <v>5</v>
      </c>
      <c r="H651" s="7">
        <v>30</v>
      </c>
      <c r="I651" s="6">
        <v>5</v>
      </c>
      <c r="J651" s="6">
        <v>2</v>
      </c>
      <c r="K651" s="6">
        <v>1</v>
      </c>
      <c r="L651" s="6">
        <v>15</v>
      </c>
      <c r="M651" s="6">
        <v>260153</v>
      </c>
      <c r="N651" s="6">
        <v>5203060</v>
      </c>
      <c r="O651" s="6">
        <v>69</v>
      </c>
      <c r="P651" s="7">
        <v>6309.48992</v>
      </c>
      <c r="Q651" s="7">
        <v>26530.1728</v>
      </c>
      <c r="R651" s="9">
        <f>D651*VLOOKUP(1001,적!$A$4:$D$13,3,FALSE)</f>
        <v>556864.48721679999</v>
      </c>
      <c r="S651" s="9">
        <f>D651*VLOOKUP(F651,보스!$A$4:$E$5,4,FALSE)</f>
        <v>20047121.539804801</v>
      </c>
    </row>
    <row r="652" spans="1:19" ht="21.95" customHeight="1">
      <c r="A652" s="6">
        <v>5649</v>
      </c>
      <c r="B652" s="2" t="s">
        <v>800</v>
      </c>
      <c r="C652" s="6">
        <v>649</v>
      </c>
      <c r="D652" s="7">
        <v>279720.56924032001</v>
      </c>
      <c r="E652" s="2" t="s">
        <v>152</v>
      </c>
      <c r="F652" s="6">
        <v>2001</v>
      </c>
      <c r="G652" s="6">
        <v>5</v>
      </c>
      <c r="H652" s="7">
        <v>30</v>
      </c>
      <c r="I652" s="6">
        <v>5</v>
      </c>
      <c r="J652" s="6">
        <v>2</v>
      </c>
      <c r="K652" s="6">
        <v>1</v>
      </c>
      <c r="L652" s="6">
        <v>15</v>
      </c>
      <c r="M652" s="6">
        <v>260559</v>
      </c>
      <c r="N652" s="6">
        <v>5211180</v>
      </c>
      <c r="O652" s="6">
        <v>69</v>
      </c>
      <c r="P652" s="7">
        <v>6327.2236400000002</v>
      </c>
      <c r="Q652" s="7">
        <v>26604.737099999998</v>
      </c>
      <c r="R652" s="9">
        <f>D652*VLOOKUP(1001,적!$A$4:$D$13,3,FALSE)</f>
        <v>559441.13848064002</v>
      </c>
      <c r="S652" s="9">
        <f>D652*VLOOKUP(F652,보스!$A$4:$E$5,4,FALSE)</f>
        <v>20139880.985303041</v>
      </c>
    </row>
    <row r="653" spans="1:19" ht="21.95" customHeight="1">
      <c r="A653" s="6">
        <v>5650</v>
      </c>
      <c r="B653" s="2" t="s">
        <v>801</v>
      </c>
      <c r="C653" s="6">
        <v>650</v>
      </c>
      <c r="D653" s="7">
        <v>281013.53253600001</v>
      </c>
      <c r="E653" s="2" t="s">
        <v>152</v>
      </c>
      <c r="F653" s="6">
        <v>2002</v>
      </c>
      <c r="G653" s="6">
        <v>5</v>
      </c>
      <c r="H653" s="7">
        <v>30</v>
      </c>
      <c r="I653" s="6">
        <v>5</v>
      </c>
      <c r="J653" s="6">
        <v>2</v>
      </c>
      <c r="K653" s="6">
        <v>1</v>
      </c>
      <c r="L653" s="6">
        <v>15</v>
      </c>
      <c r="M653" s="6">
        <v>260965</v>
      </c>
      <c r="N653" s="6">
        <v>5219300</v>
      </c>
      <c r="O653" s="6">
        <v>70</v>
      </c>
      <c r="P653" s="7">
        <v>6344.982</v>
      </c>
      <c r="Q653" s="7">
        <v>26679.404999999999</v>
      </c>
      <c r="R653" s="9">
        <f>D653*VLOOKUP(1001,적!$A$4:$D$13,3,FALSE)</f>
        <v>562027.06507200003</v>
      </c>
      <c r="S653" s="9">
        <f>D653*VLOOKUP(F653,보스!$A$4:$E$5,4,FALSE)</f>
        <v>20232974.342592001</v>
      </c>
    </row>
    <row r="654" spans="1:19" ht="21.95" customHeight="1">
      <c r="A654" s="6">
        <v>5651</v>
      </c>
      <c r="B654" s="2" t="s">
        <v>802</v>
      </c>
      <c r="C654" s="6">
        <v>651</v>
      </c>
      <c r="D654" s="7">
        <v>282311.14549999998</v>
      </c>
      <c r="E654" s="2" t="s">
        <v>152</v>
      </c>
      <c r="F654" s="6">
        <v>2001</v>
      </c>
      <c r="G654" s="6">
        <v>5</v>
      </c>
      <c r="H654" s="7">
        <v>30</v>
      </c>
      <c r="I654" s="6">
        <v>5</v>
      </c>
      <c r="J654" s="6">
        <v>2</v>
      </c>
      <c r="K654" s="6">
        <v>1</v>
      </c>
      <c r="L654" s="6">
        <v>15</v>
      </c>
      <c r="M654" s="6">
        <v>261372</v>
      </c>
      <c r="N654" s="6">
        <v>5227440</v>
      </c>
      <c r="O654" s="6">
        <v>70</v>
      </c>
      <c r="P654" s="7">
        <v>6362.7650000000003</v>
      </c>
      <c r="Q654" s="7">
        <v>26754.176500000001</v>
      </c>
      <c r="R654" s="9">
        <f>D654*VLOOKUP(1001,적!$A$4:$D$13,3,FALSE)</f>
        <v>564622.29099999997</v>
      </c>
      <c r="S654" s="9">
        <f>D654*VLOOKUP(F654,보스!$A$4:$E$5,4,FALSE)</f>
        <v>20326402.476</v>
      </c>
    </row>
    <row r="655" spans="1:19" ht="21.95" customHeight="1">
      <c r="A655" s="6">
        <v>5652</v>
      </c>
      <c r="B655" s="2" t="s">
        <v>803</v>
      </c>
      <c r="C655" s="6">
        <v>652</v>
      </c>
      <c r="D655" s="7">
        <v>283613.42015416001</v>
      </c>
      <c r="E655" s="2" t="s">
        <v>152</v>
      </c>
      <c r="F655" s="6">
        <v>2002</v>
      </c>
      <c r="G655" s="6">
        <v>5</v>
      </c>
      <c r="H655" s="7">
        <v>30</v>
      </c>
      <c r="I655" s="6">
        <v>5</v>
      </c>
      <c r="J655" s="6">
        <v>2</v>
      </c>
      <c r="K655" s="6">
        <v>1</v>
      </c>
      <c r="L655" s="6">
        <v>15</v>
      </c>
      <c r="M655" s="6">
        <v>261778</v>
      </c>
      <c r="N655" s="6">
        <v>5235560</v>
      </c>
      <c r="O655" s="6">
        <v>70</v>
      </c>
      <c r="P655" s="7">
        <v>6380.5726400000003</v>
      </c>
      <c r="Q655" s="7">
        <v>26829.051599999999</v>
      </c>
      <c r="R655" s="9">
        <f>D655*VLOOKUP(1001,적!$A$4:$D$13,3,FALSE)</f>
        <v>567226.84030832001</v>
      </c>
      <c r="S655" s="9">
        <f>D655*VLOOKUP(F655,보스!$A$4:$E$5,4,FALSE)</f>
        <v>20420166.251099519</v>
      </c>
    </row>
    <row r="656" spans="1:19" ht="21.95" customHeight="1">
      <c r="A656" s="6">
        <v>5653</v>
      </c>
      <c r="B656" s="2" t="s">
        <v>804</v>
      </c>
      <c r="C656" s="6">
        <v>653</v>
      </c>
      <c r="D656" s="7">
        <v>284920.36853759998</v>
      </c>
      <c r="E656" s="2" t="s">
        <v>152</v>
      </c>
      <c r="F656" s="6">
        <v>2001</v>
      </c>
      <c r="G656" s="6">
        <v>5</v>
      </c>
      <c r="H656" s="7">
        <v>30</v>
      </c>
      <c r="I656" s="6">
        <v>5</v>
      </c>
      <c r="J656" s="6">
        <v>2</v>
      </c>
      <c r="K656" s="6">
        <v>1</v>
      </c>
      <c r="L656" s="6">
        <v>15</v>
      </c>
      <c r="M656" s="6">
        <v>262184</v>
      </c>
      <c r="N656" s="6">
        <v>5243680</v>
      </c>
      <c r="O656" s="6">
        <v>70</v>
      </c>
      <c r="P656" s="7">
        <v>6398.4049199999999</v>
      </c>
      <c r="Q656" s="7">
        <v>26904.030299999999</v>
      </c>
      <c r="R656" s="9">
        <f>D656*VLOOKUP(1001,적!$A$4:$D$13,3,FALSE)</f>
        <v>569840.73707519996</v>
      </c>
      <c r="S656" s="9">
        <f>D656*VLOOKUP(F656,보스!$A$4:$E$5,4,FALSE)</f>
        <v>20514266.5347072</v>
      </c>
    </row>
    <row r="657" spans="1:19" ht="21.95" customHeight="1">
      <c r="A657" s="6">
        <v>5654</v>
      </c>
      <c r="B657" s="2" t="s">
        <v>805</v>
      </c>
      <c r="C657" s="6">
        <v>654</v>
      </c>
      <c r="D657" s="7">
        <v>286232.00270672003</v>
      </c>
      <c r="E657" s="2" t="s">
        <v>152</v>
      </c>
      <c r="F657" s="6">
        <v>2002</v>
      </c>
      <c r="G657" s="6">
        <v>5</v>
      </c>
      <c r="H657" s="7">
        <v>30</v>
      </c>
      <c r="I657" s="6">
        <v>5</v>
      </c>
      <c r="J657" s="6">
        <v>2</v>
      </c>
      <c r="K657" s="6">
        <v>1</v>
      </c>
      <c r="L657" s="6">
        <v>15</v>
      </c>
      <c r="M657" s="6">
        <v>262590</v>
      </c>
      <c r="N657" s="6">
        <v>5251800</v>
      </c>
      <c r="O657" s="6">
        <v>70</v>
      </c>
      <c r="P657" s="7">
        <v>6416.2618400000001</v>
      </c>
      <c r="Q657" s="7">
        <v>26979.1126</v>
      </c>
      <c r="R657" s="9">
        <f>D657*VLOOKUP(1001,적!$A$4:$D$13,3,FALSE)</f>
        <v>572464.00541344006</v>
      </c>
      <c r="S657" s="9">
        <f>D657*VLOOKUP(F657,보스!$A$4:$E$5,4,FALSE)</f>
        <v>20608704.194883842</v>
      </c>
    </row>
    <row r="658" spans="1:19" ht="21.95" customHeight="1">
      <c r="A658" s="6">
        <v>5655</v>
      </c>
      <c r="B658" s="2" t="s">
        <v>806</v>
      </c>
      <c r="C658" s="6">
        <v>655</v>
      </c>
      <c r="D658" s="7">
        <v>287548.33473519998</v>
      </c>
      <c r="E658" s="2" t="s">
        <v>152</v>
      </c>
      <c r="F658" s="6">
        <v>2001</v>
      </c>
      <c r="G658" s="6">
        <v>5</v>
      </c>
      <c r="H658" s="7">
        <v>30</v>
      </c>
      <c r="I658" s="6">
        <v>5</v>
      </c>
      <c r="J658" s="6">
        <v>2</v>
      </c>
      <c r="K658" s="6">
        <v>1</v>
      </c>
      <c r="L658" s="6">
        <v>15</v>
      </c>
      <c r="M658" s="6">
        <v>262996</v>
      </c>
      <c r="N658" s="6">
        <v>5259920</v>
      </c>
      <c r="O658" s="6">
        <v>70</v>
      </c>
      <c r="P658" s="7">
        <v>6434.1433999999999</v>
      </c>
      <c r="Q658" s="7">
        <v>27054.298500000001</v>
      </c>
      <c r="R658" s="9">
        <f>D658*VLOOKUP(1001,적!$A$4:$D$13,3,FALSE)</f>
        <v>575096.66947039997</v>
      </c>
      <c r="S658" s="9">
        <f>D658*VLOOKUP(F658,보스!$A$4:$E$5,4,FALSE)</f>
        <v>20703480.100934397</v>
      </c>
    </row>
    <row r="659" spans="1:19" ht="21.95" customHeight="1">
      <c r="A659" s="6">
        <v>5656</v>
      </c>
      <c r="B659" s="2" t="s">
        <v>807</v>
      </c>
      <c r="C659" s="6">
        <v>656</v>
      </c>
      <c r="D659" s="7">
        <v>288869.37671400001</v>
      </c>
      <c r="E659" s="2" t="s">
        <v>152</v>
      </c>
      <c r="F659" s="6">
        <v>2002</v>
      </c>
      <c r="G659" s="6">
        <v>5</v>
      </c>
      <c r="H659" s="7">
        <v>30</v>
      </c>
      <c r="I659" s="6">
        <v>5</v>
      </c>
      <c r="J659" s="6">
        <v>2</v>
      </c>
      <c r="K659" s="6">
        <v>1</v>
      </c>
      <c r="L659" s="6">
        <v>15</v>
      </c>
      <c r="M659" s="6">
        <v>263402</v>
      </c>
      <c r="N659" s="6">
        <v>5268040</v>
      </c>
      <c r="O659" s="6">
        <v>70</v>
      </c>
      <c r="P659" s="7">
        <v>6452.0496000000003</v>
      </c>
      <c r="Q659" s="7">
        <v>27129.588</v>
      </c>
      <c r="R659" s="9">
        <f>D659*VLOOKUP(1001,적!$A$4:$D$13,3,FALSE)</f>
        <v>577738.75342800003</v>
      </c>
      <c r="S659" s="9">
        <f>D659*VLOOKUP(F659,보스!$A$4:$E$5,4,FALSE)</f>
        <v>20798595.123408001</v>
      </c>
    </row>
    <row r="660" spans="1:19" ht="21.95" customHeight="1">
      <c r="A660" s="6">
        <v>5657</v>
      </c>
      <c r="B660" s="2" t="s">
        <v>808</v>
      </c>
      <c r="C660" s="6">
        <v>657</v>
      </c>
      <c r="D660" s="7">
        <v>290195.14075135998</v>
      </c>
      <c r="E660" s="2" t="s">
        <v>152</v>
      </c>
      <c r="F660" s="6">
        <v>2001</v>
      </c>
      <c r="G660" s="6">
        <v>5</v>
      </c>
      <c r="H660" s="7">
        <v>30</v>
      </c>
      <c r="I660" s="6">
        <v>5</v>
      </c>
      <c r="J660" s="6">
        <v>2</v>
      </c>
      <c r="K660" s="6">
        <v>1</v>
      </c>
      <c r="L660" s="6">
        <v>15</v>
      </c>
      <c r="M660" s="6">
        <v>263808</v>
      </c>
      <c r="N660" s="6">
        <v>5276160</v>
      </c>
      <c r="O660" s="6">
        <v>70</v>
      </c>
      <c r="P660" s="7">
        <v>6469.9804400000003</v>
      </c>
      <c r="Q660" s="7">
        <v>27204.981100000001</v>
      </c>
      <c r="R660" s="9">
        <f>D660*VLOOKUP(1001,적!$A$4:$D$13,3,FALSE)</f>
        <v>580390.28150271997</v>
      </c>
      <c r="S660" s="9">
        <f>D660*VLOOKUP(F660,보스!$A$4:$E$5,4,FALSE)</f>
        <v>20894050.134097919</v>
      </c>
    </row>
    <row r="661" spans="1:19" ht="21.95" customHeight="1">
      <c r="A661" s="6">
        <v>5658</v>
      </c>
      <c r="B661" s="2" t="s">
        <v>809</v>
      </c>
      <c r="C661" s="6">
        <v>658</v>
      </c>
      <c r="D661" s="7">
        <v>291525.63897279999</v>
      </c>
      <c r="E661" s="2" t="s">
        <v>152</v>
      </c>
      <c r="F661" s="6">
        <v>2002</v>
      </c>
      <c r="G661" s="6">
        <v>5</v>
      </c>
      <c r="H661" s="7">
        <v>30</v>
      </c>
      <c r="I661" s="6">
        <v>5</v>
      </c>
      <c r="J661" s="6">
        <v>2</v>
      </c>
      <c r="K661" s="6">
        <v>1</v>
      </c>
      <c r="L661" s="6">
        <v>15</v>
      </c>
      <c r="M661" s="6">
        <v>264214</v>
      </c>
      <c r="N661" s="6">
        <v>5284280</v>
      </c>
      <c r="O661" s="6">
        <v>70</v>
      </c>
      <c r="P661" s="7">
        <v>6487.9359199999999</v>
      </c>
      <c r="Q661" s="7">
        <v>27280.477800000001</v>
      </c>
      <c r="R661" s="9">
        <f>D661*VLOOKUP(1001,적!$A$4:$D$13,3,FALSE)</f>
        <v>583051.27794559998</v>
      </c>
      <c r="S661" s="9">
        <f>D661*VLOOKUP(F661,보스!$A$4:$E$5,4,FALSE)</f>
        <v>20989846.006041601</v>
      </c>
    </row>
    <row r="662" spans="1:19" ht="21.95" customHeight="1">
      <c r="A662" s="6">
        <v>5659</v>
      </c>
      <c r="B662" s="2" t="s">
        <v>810</v>
      </c>
      <c r="C662" s="6">
        <v>659</v>
      </c>
      <c r="D662" s="7">
        <v>292860.88352112001</v>
      </c>
      <c r="E662" s="2" t="s">
        <v>152</v>
      </c>
      <c r="F662" s="6">
        <v>2001</v>
      </c>
      <c r="G662" s="6">
        <v>5</v>
      </c>
      <c r="H662" s="7">
        <v>30</v>
      </c>
      <c r="I662" s="6">
        <v>5</v>
      </c>
      <c r="J662" s="6">
        <v>2</v>
      </c>
      <c r="K662" s="6">
        <v>1</v>
      </c>
      <c r="L662" s="6">
        <v>15</v>
      </c>
      <c r="M662" s="6">
        <v>264620</v>
      </c>
      <c r="N662" s="6">
        <v>5292400</v>
      </c>
      <c r="O662" s="6">
        <v>70</v>
      </c>
      <c r="P662" s="7">
        <v>6505.9160400000001</v>
      </c>
      <c r="Q662" s="7">
        <v>27356.078099999999</v>
      </c>
      <c r="R662" s="9">
        <f>D662*VLOOKUP(1001,적!$A$4:$D$13,3,FALSE)</f>
        <v>585721.76704224001</v>
      </c>
      <c r="S662" s="9">
        <f>D662*VLOOKUP(F662,보스!$A$4:$E$5,4,FALSE)</f>
        <v>21085983.613520641</v>
      </c>
    </row>
    <row r="663" spans="1:19" ht="21.95" customHeight="1">
      <c r="A663" s="6">
        <v>5660</v>
      </c>
      <c r="B663" s="2" t="s">
        <v>811</v>
      </c>
      <c r="C663" s="6">
        <v>660</v>
      </c>
      <c r="D663" s="7">
        <v>294200.88655639999</v>
      </c>
      <c r="E663" s="2" t="s">
        <v>152</v>
      </c>
      <c r="F663" s="6">
        <v>2002</v>
      </c>
      <c r="G663" s="6">
        <v>5</v>
      </c>
      <c r="H663" s="7">
        <v>30</v>
      </c>
      <c r="I663" s="6">
        <v>5</v>
      </c>
      <c r="J663" s="6">
        <v>2</v>
      </c>
      <c r="K663" s="6">
        <v>1</v>
      </c>
      <c r="L663" s="6">
        <v>15</v>
      </c>
      <c r="M663" s="6">
        <v>265026</v>
      </c>
      <c r="N663" s="6">
        <v>5300520</v>
      </c>
      <c r="O663" s="6">
        <v>71</v>
      </c>
      <c r="P663" s="7">
        <v>6523.9207999999999</v>
      </c>
      <c r="Q663" s="7">
        <v>27431.781999999999</v>
      </c>
      <c r="R663" s="9">
        <f>D663*VLOOKUP(1001,적!$A$4:$D$13,3,FALSE)</f>
        <v>588401.77311279997</v>
      </c>
      <c r="S663" s="9">
        <f>D663*VLOOKUP(F663,보스!$A$4:$E$5,4,FALSE)</f>
        <v>21182463.832060799</v>
      </c>
    </row>
    <row r="664" spans="1:19" ht="21.95" customHeight="1">
      <c r="A664" s="6">
        <v>5661</v>
      </c>
      <c r="B664" s="2" t="s">
        <v>812</v>
      </c>
      <c r="C664" s="6">
        <v>661</v>
      </c>
      <c r="D664" s="7">
        <v>295545.660256</v>
      </c>
      <c r="E664" s="2" t="s">
        <v>152</v>
      </c>
      <c r="F664" s="6">
        <v>2001</v>
      </c>
      <c r="G664" s="6">
        <v>5</v>
      </c>
      <c r="H664" s="7">
        <v>30</v>
      </c>
      <c r="I664" s="6">
        <v>5</v>
      </c>
      <c r="J664" s="6">
        <v>2</v>
      </c>
      <c r="K664" s="6">
        <v>1</v>
      </c>
      <c r="L664" s="6">
        <v>15</v>
      </c>
      <c r="M664" s="6">
        <v>265432</v>
      </c>
      <c r="N664" s="6">
        <v>5308640</v>
      </c>
      <c r="O664" s="6">
        <v>71</v>
      </c>
      <c r="P664" s="7">
        <v>6541.9502000000002</v>
      </c>
      <c r="Q664" s="7">
        <v>27507.589499999998</v>
      </c>
      <c r="R664" s="9">
        <f>D664*VLOOKUP(1001,적!$A$4:$D$13,3,FALSE)</f>
        <v>591091.32051200001</v>
      </c>
      <c r="S664" s="9">
        <f>D664*VLOOKUP(F664,보스!$A$4:$E$5,4,FALSE)</f>
        <v>21279287.538432002</v>
      </c>
    </row>
    <row r="665" spans="1:19" ht="21.95" customHeight="1">
      <c r="A665" s="6">
        <v>5662</v>
      </c>
      <c r="B665" s="2" t="s">
        <v>813</v>
      </c>
      <c r="C665" s="6">
        <v>662</v>
      </c>
      <c r="D665" s="7">
        <v>296895.21681456</v>
      </c>
      <c r="E665" s="2" t="s">
        <v>152</v>
      </c>
      <c r="F665" s="6">
        <v>2002</v>
      </c>
      <c r="G665" s="6">
        <v>5</v>
      </c>
      <c r="H665" s="7">
        <v>30</v>
      </c>
      <c r="I665" s="6">
        <v>5</v>
      </c>
      <c r="J665" s="6">
        <v>2</v>
      </c>
      <c r="K665" s="6">
        <v>1</v>
      </c>
      <c r="L665" s="6">
        <v>15</v>
      </c>
      <c r="M665" s="6">
        <v>265838</v>
      </c>
      <c r="N665" s="6">
        <v>5316760</v>
      </c>
      <c r="O665" s="6">
        <v>71</v>
      </c>
      <c r="P665" s="7">
        <v>6560.0042400000002</v>
      </c>
      <c r="Q665" s="7">
        <v>27583.500599999999</v>
      </c>
      <c r="R665" s="9">
        <f>D665*VLOOKUP(1001,적!$A$4:$D$13,3,FALSE)</f>
        <v>593790.43362912</v>
      </c>
      <c r="S665" s="9">
        <f>D665*VLOOKUP(F665,보스!$A$4:$E$5,4,FALSE)</f>
        <v>21376455.610648319</v>
      </c>
    </row>
    <row r="666" spans="1:19" ht="21.95" customHeight="1">
      <c r="A666" s="6">
        <v>5663</v>
      </c>
      <c r="B666" s="2" t="s">
        <v>814</v>
      </c>
      <c r="C666" s="6">
        <v>663</v>
      </c>
      <c r="D666" s="7">
        <v>298249.56844399997</v>
      </c>
      <c r="E666" s="2" t="s">
        <v>152</v>
      </c>
      <c r="F666" s="6">
        <v>2001</v>
      </c>
      <c r="G666" s="6">
        <v>5</v>
      </c>
      <c r="H666" s="7">
        <v>30</v>
      </c>
      <c r="I666" s="6">
        <v>5</v>
      </c>
      <c r="J666" s="6">
        <v>2</v>
      </c>
      <c r="K666" s="6">
        <v>1</v>
      </c>
      <c r="L666" s="6">
        <v>15</v>
      </c>
      <c r="M666" s="6">
        <v>266245</v>
      </c>
      <c r="N666" s="6">
        <v>5324900</v>
      </c>
      <c r="O666" s="6">
        <v>71</v>
      </c>
      <c r="P666" s="7">
        <v>6578.0829199999998</v>
      </c>
      <c r="Q666" s="7">
        <v>27659.515299999999</v>
      </c>
      <c r="R666" s="9">
        <f>D666*VLOOKUP(1001,적!$A$4:$D$13,3,FALSE)</f>
        <v>596499.13688799995</v>
      </c>
      <c r="S666" s="9">
        <f>D666*VLOOKUP(F666,보스!$A$4:$E$5,4,FALSE)</f>
        <v>21473968.927967999</v>
      </c>
    </row>
    <row r="667" spans="1:19" ht="21.95" customHeight="1">
      <c r="A667" s="6">
        <v>5664</v>
      </c>
      <c r="B667" s="2" t="s">
        <v>815</v>
      </c>
      <c r="C667" s="6">
        <v>664</v>
      </c>
      <c r="D667" s="7">
        <v>299608.72737352003</v>
      </c>
      <c r="E667" s="2" t="s">
        <v>152</v>
      </c>
      <c r="F667" s="6">
        <v>2002</v>
      </c>
      <c r="G667" s="6">
        <v>5</v>
      </c>
      <c r="H667" s="7">
        <v>30</v>
      </c>
      <c r="I667" s="6">
        <v>5</v>
      </c>
      <c r="J667" s="6">
        <v>2</v>
      </c>
      <c r="K667" s="6">
        <v>1</v>
      </c>
      <c r="L667" s="6">
        <v>15</v>
      </c>
      <c r="M667" s="6">
        <v>266651</v>
      </c>
      <c r="N667" s="6">
        <v>5333020</v>
      </c>
      <c r="O667" s="6">
        <v>71</v>
      </c>
      <c r="P667" s="7">
        <v>6596.18624</v>
      </c>
      <c r="Q667" s="7">
        <v>27735.633600000001</v>
      </c>
      <c r="R667" s="9">
        <f>D667*VLOOKUP(1001,적!$A$4:$D$13,3,FALSE)</f>
        <v>599217.45474704006</v>
      </c>
      <c r="S667" s="9">
        <f>D667*VLOOKUP(F667,보스!$A$4:$E$5,4,FALSE)</f>
        <v>21571828.370893441</v>
      </c>
    </row>
    <row r="668" spans="1:19" ht="21.95" customHeight="1">
      <c r="A668" s="6">
        <v>5665</v>
      </c>
      <c r="B668" s="2" t="s">
        <v>816</v>
      </c>
      <c r="C668" s="6">
        <v>665</v>
      </c>
      <c r="D668" s="7">
        <v>300972.70584960002</v>
      </c>
      <c r="E668" s="2" t="s">
        <v>152</v>
      </c>
      <c r="F668" s="6">
        <v>2001</v>
      </c>
      <c r="G668" s="6">
        <v>5</v>
      </c>
      <c r="H668" s="7">
        <v>30</v>
      </c>
      <c r="I668" s="6">
        <v>5</v>
      </c>
      <c r="J668" s="6">
        <v>2</v>
      </c>
      <c r="K668" s="6">
        <v>1</v>
      </c>
      <c r="L668" s="6">
        <v>15</v>
      </c>
      <c r="M668" s="6">
        <v>267057</v>
      </c>
      <c r="N668" s="6">
        <v>5341140</v>
      </c>
      <c r="O668" s="6">
        <v>71</v>
      </c>
      <c r="P668" s="7">
        <v>6614.3141999999998</v>
      </c>
      <c r="Q668" s="7">
        <v>27811.855500000001</v>
      </c>
      <c r="R668" s="9">
        <f>D668*VLOOKUP(1001,적!$A$4:$D$13,3,FALSE)</f>
        <v>601945.41169920005</v>
      </c>
      <c r="S668" s="9">
        <f>D668*VLOOKUP(F668,보스!$A$4:$E$5,4,FALSE)</f>
        <v>21670034.821171202</v>
      </c>
    </row>
    <row r="669" spans="1:19" ht="21.95" customHeight="1">
      <c r="A669" s="6">
        <v>5666</v>
      </c>
      <c r="B669" s="2" t="s">
        <v>817</v>
      </c>
      <c r="C669" s="6">
        <v>666</v>
      </c>
      <c r="D669" s="7">
        <v>302341.51613599999</v>
      </c>
      <c r="E669" s="2" t="s">
        <v>152</v>
      </c>
      <c r="F669" s="6">
        <v>2002</v>
      </c>
      <c r="G669" s="6">
        <v>5</v>
      </c>
      <c r="H669" s="7">
        <v>30</v>
      </c>
      <c r="I669" s="6">
        <v>5</v>
      </c>
      <c r="J669" s="6">
        <v>2</v>
      </c>
      <c r="K669" s="6">
        <v>1</v>
      </c>
      <c r="L669" s="6">
        <v>15</v>
      </c>
      <c r="M669" s="6">
        <v>267463</v>
      </c>
      <c r="N669" s="6">
        <v>5349260</v>
      </c>
      <c r="O669" s="6">
        <v>71</v>
      </c>
      <c r="P669" s="7">
        <v>6632.4668000000001</v>
      </c>
      <c r="Q669" s="7">
        <v>27888.181</v>
      </c>
      <c r="R669" s="9">
        <f>D669*VLOOKUP(1001,적!$A$4:$D$13,3,FALSE)</f>
        <v>604683.03227199998</v>
      </c>
      <c r="S669" s="9">
        <f>D669*VLOOKUP(F669,보스!$A$4:$E$5,4,FALSE)</f>
        <v>21768589.161791999</v>
      </c>
    </row>
    <row r="670" spans="1:19" ht="21.95" customHeight="1">
      <c r="A670" s="6">
        <v>5667</v>
      </c>
      <c r="B670" s="2" t="s">
        <v>818</v>
      </c>
      <c r="C670" s="6">
        <v>667</v>
      </c>
      <c r="D670" s="7">
        <v>303715.17051376001</v>
      </c>
      <c r="E670" s="2" t="s">
        <v>152</v>
      </c>
      <c r="F670" s="6">
        <v>2001</v>
      </c>
      <c r="G670" s="6">
        <v>5</v>
      </c>
      <c r="H670" s="7">
        <v>30</v>
      </c>
      <c r="I670" s="6">
        <v>5</v>
      </c>
      <c r="J670" s="6">
        <v>2</v>
      </c>
      <c r="K670" s="6">
        <v>1</v>
      </c>
      <c r="L670" s="6">
        <v>15</v>
      </c>
      <c r="M670" s="6">
        <v>267869</v>
      </c>
      <c r="N670" s="6">
        <v>5357380</v>
      </c>
      <c r="O670" s="6">
        <v>71</v>
      </c>
      <c r="P670" s="7">
        <v>6650.6440400000001</v>
      </c>
      <c r="Q670" s="7">
        <v>27964.610100000002</v>
      </c>
      <c r="R670" s="9">
        <f>D670*VLOOKUP(1001,적!$A$4:$D$13,3,FALSE)</f>
        <v>607430.34102752001</v>
      </c>
      <c r="S670" s="9">
        <f>D670*VLOOKUP(F670,보스!$A$4:$E$5,4,FALSE)</f>
        <v>21867492.276990719</v>
      </c>
    </row>
    <row r="671" spans="1:19" ht="21.95" customHeight="1">
      <c r="A671" s="6">
        <v>5668</v>
      </c>
      <c r="B671" s="2" t="s">
        <v>819</v>
      </c>
      <c r="C671" s="6">
        <v>668</v>
      </c>
      <c r="D671" s="7">
        <v>305093.68128120003</v>
      </c>
      <c r="E671" s="2" t="s">
        <v>152</v>
      </c>
      <c r="F671" s="6">
        <v>2002</v>
      </c>
      <c r="G671" s="6">
        <v>5</v>
      </c>
      <c r="H671" s="7">
        <v>30</v>
      </c>
      <c r="I671" s="6">
        <v>5</v>
      </c>
      <c r="J671" s="6">
        <v>2</v>
      </c>
      <c r="K671" s="6">
        <v>1</v>
      </c>
      <c r="L671" s="6">
        <v>15</v>
      </c>
      <c r="M671" s="6">
        <v>268275</v>
      </c>
      <c r="N671" s="6">
        <v>5365500</v>
      </c>
      <c r="O671" s="6">
        <v>71</v>
      </c>
      <c r="P671" s="7">
        <v>6668.8459199999998</v>
      </c>
      <c r="Q671" s="7">
        <v>28041.142800000001</v>
      </c>
      <c r="R671" s="9">
        <f>D671*VLOOKUP(1001,적!$A$4:$D$13,3,FALSE)</f>
        <v>610187.36256240006</v>
      </c>
      <c r="S671" s="9">
        <f>D671*VLOOKUP(F671,보스!$A$4:$E$5,4,FALSE)</f>
        <v>21966745.052246403</v>
      </c>
    </row>
    <row r="672" spans="1:19" ht="21.95" customHeight="1">
      <c r="A672" s="6">
        <v>5669</v>
      </c>
      <c r="B672" s="2" t="s">
        <v>820</v>
      </c>
      <c r="C672" s="6">
        <v>669</v>
      </c>
      <c r="D672" s="7">
        <v>306477.06075392</v>
      </c>
      <c r="E672" s="2" t="s">
        <v>152</v>
      </c>
      <c r="F672" s="6">
        <v>2001</v>
      </c>
      <c r="G672" s="6">
        <v>5</v>
      </c>
      <c r="H672" s="7">
        <v>30</v>
      </c>
      <c r="I672" s="6">
        <v>5</v>
      </c>
      <c r="J672" s="6">
        <v>2</v>
      </c>
      <c r="K672" s="6">
        <v>1</v>
      </c>
      <c r="L672" s="6">
        <v>15</v>
      </c>
      <c r="M672" s="6">
        <v>268681</v>
      </c>
      <c r="N672" s="6">
        <v>5373620</v>
      </c>
      <c r="O672" s="6">
        <v>71</v>
      </c>
      <c r="P672" s="7">
        <v>6687.0724399999999</v>
      </c>
      <c r="Q672" s="7">
        <v>28117.7791</v>
      </c>
      <c r="R672" s="9">
        <f>D672*VLOOKUP(1001,적!$A$4:$D$13,3,FALSE)</f>
        <v>612954.12150784</v>
      </c>
      <c r="S672" s="9">
        <f>D672*VLOOKUP(F672,보스!$A$4:$E$5,4,FALSE)</f>
        <v>22066348.374282241</v>
      </c>
    </row>
    <row r="673" spans="1:19" ht="21.95" customHeight="1">
      <c r="A673" s="6">
        <v>5670</v>
      </c>
      <c r="B673" s="2" t="s">
        <v>821</v>
      </c>
      <c r="C673" s="6">
        <v>670</v>
      </c>
      <c r="D673" s="7">
        <v>307865.32126479998</v>
      </c>
      <c r="E673" s="2" t="s">
        <v>152</v>
      </c>
      <c r="F673" s="6">
        <v>2002</v>
      </c>
      <c r="G673" s="6">
        <v>5</v>
      </c>
      <c r="H673" s="7">
        <v>30</v>
      </c>
      <c r="I673" s="6">
        <v>5</v>
      </c>
      <c r="J673" s="6">
        <v>2</v>
      </c>
      <c r="K673" s="6">
        <v>1</v>
      </c>
      <c r="L673" s="6">
        <v>15</v>
      </c>
      <c r="M673" s="6">
        <v>269087</v>
      </c>
      <c r="N673" s="6">
        <v>5381740</v>
      </c>
      <c r="O673" s="6">
        <v>72</v>
      </c>
      <c r="P673" s="7">
        <v>6705.3235999999997</v>
      </c>
      <c r="Q673" s="7">
        <v>28194.519</v>
      </c>
      <c r="R673" s="9">
        <f>D673*VLOOKUP(1001,적!$A$4:$D$13,3,FALSE)</f>
        <v>615730.64252959995</v>
      </c>
      <c r="S673" s="9">
        <f>D673*VLOOKUP(F673,보스!$A$4:$E$5,4,FALSE)</f>
        <v>22166303.1310656</v>
      </c>
    </row>
    <row r="674" spans="1:19" ht="21.95" customHeight="1">
      <c r="A674" s="6">
        <v>5671</v>
      </c>
      <c r="B674" s="2" t="s">
        <v>822</v>
      </c>
      <c r="C674" s="6">
        <v>671</v>
      </c>
      <c r="D674" s="7">
        <v>309258.475164</v>
      </c>
      <c r="E674" s="2" t="s">
        <v>152</v>
      </c>
      <c r="F674" s="6">
        <v>2001</v>
      </c>
      <c r="G674" s="6">
        <v>5</v>
      </c>
      <c r="H674" s="7">
        <v>30</v>
      </c>
      <c r="I674" s="6">
        <v>5</v>
      </c>
      <c r="J674" s="6">
        <v>2</v>
      </c>
      <c r="K674" s="6">
        <v>1</v>
      </c>
      <c r="L674" s="6">
        <v>15</v>
      </c>
      <c r="M674" s="6">
        <v>269493</v>
      </c>
      <c r="N674" s="6">
        <v>5389860</v>
      </c>
      <c r="O674" s="6">
        <v>72</v>
      </c>
      <c r="P674" s="7">
        <v>6723.5994000000001</v>
      </c>
      <c r="Q674" s="7">
        <v>28271.362499999999</v>
      </c>
      <c r="R674" s="9">
        <f>D674*VLOOKUP(1001,적!$A$4:$D$13,3,FALSE)</f>
        <v>618516.95032800001</v>
      </c>
      <c r="S674" s="9">
        <f>D674*VLOOKUP(F674,보스!$A$4:$E$5,4,FALSE)</f>
        <v>22266610.211808</v>
      </c>
    </row>
    <row r="675" spans="1:19" ht="21.95" customHeight="1">
      <c r="A675" s="6">
        <v>5672</v>
      </c>
      <c r="B675" s="2" t="s">
        <v>823</v>
      </c>
      <c r="C675" s="6">
        <v>672</v>
      </c>
      <c r="D675" s="7">
        <v>310656.53481896</v>
      </c>
      <c r="E675" s="2" t="s">
        <v>152</v>
      </c>
      <c r="F675" s="6">
        <v>2002</v>
      </c>
      <c r="G675" s="6">
        <v>5</v>
      </c>
      <c r="H675" s="7">
        <v>30</v>
      </c>
      <c r="I675" s="6">
        <v>5</v>
      </c>
      <c r="J675" s="6">
        <v>2</v>
      </c>
      <c r="K675" s="6">
        <v>1</v>
      </c>
      <c r="L675" s="6">
        <v>15</v>
      </c>
      <c r="M675" s="6">
        <v>269899</v>
      </c>
      <c r="N675" s="6">
        <v>5397980</v>
      </c>
      <c r="O675" s="6">
        <v>72</v>
      </c>
      <c r="P675" s="7">
        <v>6741.89984</v>
      </c>
      <c r="Q675" s="7">
        <v>28348.309600000001</v>
      </c>
      <c r="R675" s="9">
        <f>D675*VLOOKUP(1001,적!$A$4:$D$13,3,FALSE)</f>
        <v>621313.06963792001</v>
      </c>
      <c r="S675" s="9">
        <f>D675*VLOOKUP(F675,보스!$A$4:$E$5,4,FALSE)</f>
        <v>22367270.506965119</v>
      </c>
    </row>
    <row r="676" spans="1:19" ht="21.95" customHeight="1">
      <c r="A676" s="6">
        <v>5673</v>
      </c>
      <c r="B676" s="2" t="s">
        <v>824</v>
      </c>
      <c r="C676" s="6">
        <v>673</v>
      </c>
      <c r="D676" s="7">
        <v>312059.51261440001</v>
      </c>
      <c r="E676" s="2" t="s">
        <v>152</v>
      </c>
      <c r="F676" s="6">
        <v>2001</v>
      </c>
      <c r="G676" s="6">
        <v>5</v>
      </c>
      <c r="H676" s="7">
        <v>30</v>
      </c>
      <c r="I676" s="6">
        <v>5</v>
      </c>
      <c r="J676" s="6">
        <v>2</v>
      </c>
      <c r="K676" s="6">
        <v>1</v>
      </c>
      <c r="L676" s="6">
        <v>15</v>
      </c>
      <c r="M676" s="6">
        <v>270305</v>
      </c>
      <c r="N676" s="6">
        <v>5406100</v>
      </c>
      <c r="O676" s="6">
        <v>72</v>
      </c>
      <c r="P676" s="7">
        <v>6760.2249199999997</v>
      </c>
      <c r="Q676" s="7">
        <v>28425.3603</v>
      </c>
      <c r="R676" s="9">
        <f>D676*VLOOKUP(1001,적!$A$4:$D$13,3,FALSE)</f>
        <v>624119.02522880002</v>
      </c>
      <c r="S676" s="9">
        <f>D676*VLOOKUP(F676,보스!$A$4:$E$5,4,FALSE)</f>
        <v>22468284.908236802</v>
      </c>
    </row>
    <row r="677" spans="1:19" ht="21.95" customHeight="1">
      <c r="A677" s="6">
        <v>5674</v>
      </c>
      <c r="B677" s="2" t="s">
        <v>825</v>
      </c>
      <c r="C677" s="6">
        <v>674</v>
      </c>
      <c r="D677" s="7">
        <v>313467.42095231998</v>
      </c>
      <c r="E677" s="2" t="s">
        <v>152</v>
      </c>
      <c r="F677" s="6">
        <v>2002</v>
      </c>
      <c r="G677" s="6">
        <v>5</v>
      </c>
      <c r="H677" s="7">
        <v>30</v>
      </c>
      <c r="I677" s="6">
        <v>5</v>
      </c>
      <c r="J677" s="6">
        <v>2</v>
      </c>
      <c r="K677" s="6">
        <v>1</v>
      </c>
      <c r="L677" s="6">
        <v>15</v>
      </c>
      <c r="M677" s="6">
        <v>270711</v>
      </c>
      <c r="N677" s="6">
        <v>5414220</v>
      </c>
      <c r="O677" s="6">
        <v>72</v>
      </c>
      <c r="P677" s="7">
        <v>6778.5746399999998</v>
      </c>
      <c r="Q677" s="7">
        <v>28502.514599999999</v>
      </c>
      <c r="R677" s="9">
        <f>D677*VLOOKUP(1001,적!$A$4:$D$13,3,FALSE)</f>
        <v>626934.84190463996</v>
      </c>
      <c r="S677" s="9">
        <f>D677*VLOOKUP(F677,보스!$A$4:$E$5,4,FALSE)</f>
        <v>22569654.30856704</v>
      </c>
    </row>
    <row r="678" spans="1:19" ht="21.95" customHeight="1">
      <c r="A678" s="6">
        <v>5675</v>
      </c>
      <c r="B678" s="2" t="s">
        <v>826</v>
      </c>
      <c r="C678" s="6">
        <v>675</v>
      </c>
      <c r="D678" s="7">
        <v>314880.272252</v>
      </c>
      <c r="E678" s="2" t="s">
        <v>152</v>
      </c>
      <c r="F678" s="6">
        <v>2001</v>
      </c>
      <c r="G678" s="6">
        <v>5</v>
      </c>
      <c r="H678" s="7">
        <v>30</v>
      </c>
      <c r="I678" s="6">
        <v>5</v>
      </c>
      <c r="J678" s="6">
        <v>2</v>
      </c>
      <c r="K678" s="6">
        <v>1</v>
      </c>
      <c r="L678" s="6">
        <v>15</v>
      </c>
      <c r="M678" s="6">
        <v>271117</v>
      </c>
      <c r="N678" s="6">
        <v>5422340</v>
      </c>
      <c r="O678" s="6">
        <v>72</v>
      </c>
      <c r="P678" s="7">
        <v>6796.9489999999996</v>
      </c>
      <c r="Q678" s="7">
        <v>28579.772499999999</v>
      </c>
      <c r="R678" s="9">
        <f>D678*VLOOKUP(1001,적!$A$4:$D$13,3,FALSE)</f>
        <v>629760.54450399999</v>
      </c>
      <c r="S678" s="9">
        <f>D678*VLOOKUP(F678,보스!$A$4:$E$5,4,FALSE)</f>
        <v>22671379.602143999</v>
      </c>
    </row>
    <row r="679" spans="1:19" ht="21.95" customHeight="1">
      <c r="A679" s="6">
        <v>5676</v>
      </c>
      <c r="B679" s="2" t="s">
        <v>827</v>
      </c>
      <c r="C679" s="6">
        <v>676</v>
      </c>
      <c r="D679" s="7">
        <v>316298.07895</v>
      </c>
      <c r="E679" s="2" t="s">
        <v>152</v>
      </c>
      <c r="F679" s="6">
        <v>2002</v>
      </c>
      <c r="G679" s="6">
        <v>5</v>
      </c>
      <c r="H679" s="7">
        <v>30</v>
      </c>
      <c r="I679" s="6">
        <v>5</v>
      </c>
      <c r="J679" s="6">
        <v>2</v>
      </c>
      <c r="K679" s="6">
        <v>1</v>
      </c>
      <c r="L679" s="6">
        <v>15</v>
      </c>
      <c r="M679" s="6">
        <v>271524</v>
      </c>
      <c r="N679" s="6">
        <v>5430480</v>
      </c>
      <c r="O679" s="6">
        <v>72</v>
      </c>
      <c r="P679" s="7">
        <v>6815.348</v>
      </c>
      <c r="Q679" s="7">
        <v>28657.133999999998</v>
      </c>
      <c r="R679" s="9">
        <f>D679*VLOOKUP(1001,적!$A$4:$D$13,3,FALSE)</f>
        <v>632596.15789999999</v>
      </c>
      <c r="S679" s="9">
        <f>D679*VLOOKUP(F679,보스!$A$4:$E$5,4,FALSE)</f>
        <v>22773461.6844</v>
      </c>
    </row>
    <row r="680" spans="1:19" ht="21.95" customHeight="1">
      <c r="A680" s="6">
        <v>5677</v>
      </c>
      <c r="B680" s="2" t="s">
        <v>828</v>
      </c>
      <c r="C680" s="6">
        <v>677</v>
      </c>
      <c r="D680" s="7">
        <v>317720.85350015998</v>
      </c>
      <c r="E680" s="2" t="s">
        <v>152</v>
      </c>
      <c r="F680" s="6">
        <v>2001</v>
      </c>
      <c r="G680" s="6">
        <v>5</v>
      </c>
      <c r="H680" s="7">
        <v>30</v>
      </c>
      <c r="I680" s="6">
        <v>5</v>
      </c>
      <c r="J680" s="6">
        <v>2</v>
      </c>
      <c r="K680" s="6">
        <v>1</v>
      </c>
      <c r="L680" s="6">
        <v>15</v>
      </c>
      <c r="M680" s="6">
        <v>271930</v>
      </c>
      <c r="N680" s="6">
        <v>5438600</v>
      </c>
      <c r="O680" s="6">
        <v>72</v>
      </c>
      <c r="P680" s="7">
        <v>6833.7716399999999</v>
      </c>
      <c r="Q680" s="7">
        <v>28734.599099999999</v>
      </c>
      <c r="R680" s="9">
        <f>D680*VLOOKUP(1001,적!$A$4:$D$13,3,FALSE)</f>
        <v>635441.70700031996</v>
      </c>
      <c r="S680" s="9">
        <f>D680*VLOOKUP(F680,보스!$A$4:$E$5,4,FALSE)</f>
        <v>22875901.452011518</v>
      </c>
    </row>
    <row r="681" spans="1:19" ht="21.95" customHeight="1">
      <c r="A681" s="6">
        <v>5678</v>
      </c>
      <c r="B681" s="2" t="s">
        <v>829</v>
      </c>
      <c r="C681" s="6">
        <v>678</v>
      </c>
      <c r="D681" s="7">
        <v>319148.6083736</v>
      </c>
      <c r="E681" s="2" t="s">
        <v>152</v>
      </c>
      <c r="F681" s="6">
        <v>2002</v>
      </c>
      <c r="G681" s="6">
        <v>5</v>
      </c>
      <c r="H681" s="7">
        <v>30</v>
      </c>
      <c r="I681" s="6">
        <v>5</v>
      </c>
      <c r="J681" s="6">
        <v>2</v>
      </c>
      <c r="K681" s="6">
        <v>1</v>
      </c>
      <c r="L681" s="6">
        <v>15</v>
      </c>
      <c r="M681" s="6">
        <v>272336</v>
      </c>
      <c r="N681" s="6">
        <v>5446720</v>
      </c>
      <c r="O681" s="6">
        <v>72</v>
      </c>
      <c r="P681" s="7">
        <v>6852.2199199999995</v>
      </c>
      <c r="Q681" s="7">
        <v>28812.167799999999</v>
      </c>
      <c r="R681" s="9">
        <f>D681*VLOOKUP(1001,적!$A$4:$D$13,3,FALSE)</f>
        <v>638297.2167472</v>
      </c>
      <c r="S681" s="9">
        <f>D681*VLOOKUP(F681,보스!$A$4:$E$5,4,FALSE)</f>
        <v>22978699.8028992</v>
      </c>
    </row>
    <row r="682" spans="1:19" ht="21.95" customHeight="1">
      <c r="A682" s="6">
        <v>5679</v>
      </c>
      <c r="B682" s="2" t="s">
        <v>830</v>
      </c>
      <c r="C682" s="6">
        <v>679</v>
      </c>
      <c r="D682" s="7">
        <v>320581.35605871998</v>
      </c>
      <c r="E682" s="2" t="s">
        <v>152</v>
      </c>
      <c r="F682" s="6">
        <v>2001</v>
      </c>
      <c r="G682" s="6">
        <v>5</v>
      </c>
      <c r="H682" s="7">
        <v>30</v>
      </c>
      <c r="I682" s="6">
        <v>5</v>
      </c>
      <c r="J682" s="6">
        <v>2</v>
      </c>
      <c r="K682" s="6">
        <v>1</v>
      </c>
      <c r="L682" s="6">
        <v>15</v>
      </c>
      <c r="M682" s="6">
        <v>272742</v>
      </c>
      <c r="N682" s="6">
        <v>5454840</v>
      </c>
      <c r="O682" s="6">
        <v>72</v>
      </c>
      <c r="P682" s="7">
        <v>6870.6928399999997</v>
      </c>
      <c r="Q682" s="7">
        <v>28889.840100000001</v>
      </c>
      <c r="R682" s="9">
        <f>D682*VLOOKUP(1001,적!$A$4:$D$13,3,FALSE)</f>
        <v>641162.71211743995</v>
      </c>
      <c r="S682" s="9">
        <f>D682*VLOOKUP(F682,보스!$A$4:$E$5,4,FALSE)</f>
        <v>23081857.636227839</v>
      </c>
    </row>
    <row r="683" spans="1:19" ht="21.95" customHeight="1">
      <c r="A683" s="6">
        <v>5680</v>
      </c>
      <c r="B683" s="2" t="s">
        <v>831</v>
      </c>
      <c r="C683" s="6">
        <v>680</v>
      </c>
      <c r="D683" s="7">
        <v>322019.1090612</v>
      </c>
      <c r="E683" s="2" t="s">
        <v>152</v>
      </c>
      <c r="F683" s="6">
        <v>2002</v>
      </c>
      <c r="G683" s="6">
        <v>5</v>
      </c>
      <c r="H683" s="7">
        <v>30</v>
      </c>
      <c r="I683" s="6">
        <v>5</v>
      </c>
      <c r="J683" s="6">
        <v>2</v>
      </c>
      <c r="K683" s="6">
        <v>1</v>
      </c>
      <c r="L683" s="6">
        <v>15</v>
      </c>
      <c r="M683" s="6">
        <v>273148</v>
      </c>
      <c r="N683" s="6">
        <v>5462960</v>
      </c>
      <c r="O683" s="6">
        <v>73</v>
      </c>
      <c r="P683" s="7">
        <v>6889.1904000000004</v>
      </c>
      <c r="Q683" s="7">
        <v>28967.616000000002</v>
      </c>
      <c r="R683" s="9">
        <f>D683*VLOOKUP(1001,적!$A$4:$D$13,3,FALSE)</f>
        <v>644038.21812239999</v>
      </c>
      <c r="S683" s="9">
        <f>D683*VLOOKUP(F683,보스!$A$4:$E$5,4,FALSE)</f>
        <v>23185375.852406401</v>
      </c>
    </row>
    <row r="684" spans="1:19" ht="21.95" customHeight="1">
      <c r="A684" s="6">
        <v>5681</v>
      </c>
      <c r="B684" s="2" t="s">
        <v>832</v>
      </c>
      <c r="C684" s="6">
        <v>681</v>
      </c>
      <c r="D684" s="7">
        <v>323461.87990399997</v>
      </c>
      <c r="E684" s="2" t="s">
        <v>152</v>
      </c>
      <c r="F684" s="6">
        <v>2001</v>
      </c>
      <c r="G684" s="6">
        <v>5</v>
      </c>
      <c r="H684" s="7">
        <v>30</v>
      </c>
      <c r="I684" s="6">
        <v>5</v>
      </c>
      <c r="J684" s="6">
        <v>2</v>
      </c>
      <c r="K684" s="6">
        <v>1</v>
      </c>
      <c r="L684" s="6">
        <v>15</v>
      </c>
      <c r="M684" s="6">
        <v>273554</v>
      </c>
      <c r="N684" s="6">
        <v>5471080</v>
      </c>
      <c r="O684" s="6">
        <v>73</v>
      </c>
      <c r="P684" s="7">
        <v>6907.7125999999998</v>
      </c>
      <c r="Q684" s="7">
        <v>29045.495500000001</v>
      </c>
      <c r="R684" s="9">
        <f>D684*VLOOKUP(1001,적!$A$4:$D$13,3,FALSE)</f>
        <v>646923.75980799994</v>
      </c>
      <c r="S684" s="9">
        <f>D684*VLOOKUP(F684,보스!$A$4:$E$5,4,FALSE)</f>
        <v>23289255.353087999</v>
      </c>
    </row>
    <row r="685" spans="1:19" ht="21.95" customHeight="1">
      <c r="A685" s="6">
        <v>5682</v>
      </c>
      <c r="B685" s="2" t="s">
        <v>833</v>
      </c>
      <c r="C685" s="6">
        <v>682</v>
      </c>
      <c r="D685" s="7">
        <v>324909.68112735997</v>
      </c>
      <c r="E685" s="2" t="s">
        <v>152</v>
      </c>
      <c r="F685" s="6">
        <v>2002</v>
      </c>
      <c r="G685" s="6">
        <v>5</v>
      </c>
      <c r="H685" s="7">
        <v>30</v>
      </c>
      <c r="I685" s="6">
        <v>5</v>
      </c>
      <c r="J685" s="6">
        <v>2</v>
      </c>
      <c r="K685" s="6">
        <v>1</v>
      </c>
      <c r="L685" s="6">
        <v>15</v>
      </c>
      <c r="M685" s="6">
        <v>273960</v>
      </c>
      <c r="N685" s="6">
        <v>5479200</v>
      </c>
      <c r="O685" s="6">
        <v>73</v>
      </c>
      <c r="P685" s="7">
        <v>6926.2594399999998</v>
      </c>
      <c r="Q685" s="7">
        <v>29123.478599999999</v>
      </c>
      <c r="R685" s="9">
        <f>D685*VLOOKUP(1001,적!$A$4:$D$13,3,FALSE)</f>
        <v>649819.36225471995</v>
      </c>
      <c r="S685" s="9">
        <f>D685*VLOOKUP(F685,보스!$A$4:$E$5,4,FALSE)</f>
        <v>23393497.041169919</v>
      </c>
    </row>
    <row r="686" spans="1:19" ht="21.95" customHeight="1">
      <c r="A686" s="6">
        <v>5683</v>
      </c>
      <c r="B686" s="2" t="s">
        <v>834</v>
      </c>
      <c r="C686" s="6">
        <v>683</v>
      </c>
      <c r="D686" s="7">
        <v>326362.52528880001</v>
      </c>
      <c r="E686" s="2" t="s">
        <v>152</v>
      </c>
      <c r="F686" s="6">
        <v>2001</v>
      </c>
      <c r="G686" s="6">
        <v>5</v>
      </c>
      <c r="H686" s="7">
        <v>30</v>
      </c>
      <c r="I686" s="6">
        <v>5</v>
      </c>
      <c r="J686" s="6">
        <v>2</v>
      </c>
      <c r="K686" s="6">
        <v>1</v>
      </c>
      <c r="L686" s="6">
        <v>15</v>
      </c>
      <c r="M686" s="6">
        <v>274366</v>
      </c>
      <c r="N686" s="6">
        <v>5487320</v>
      </c>
      <c r="O686" s="6">
        <v>73</v>
      </c>
      <c r="P686" s="7">
        <v>6944.8309200000003</v>
      </c>
      <c r="Q686" s="7">
        <v>29201.565299999998</v>
      </c>
      <c r="R686" s="9">
        <f>D686*VLOOKUP(1001,적!$A$4:$D$13,3,FALSE)</f>
        <v>652725.05057760002</v>
      </c>
      <c r="S686" s="9">
        <f>D686*VLOOKUP(F686,보스!$A$4:$E$5,4,FALSE)</f>
        <v>23498101.820793599</v>
      </c>
    </row>
    <row r="687" spans="1:19" ht="21.95" customHeight="1">
      <c r="A687" s="6">
        <v>5684</v>
      </c>
      <c r="B687" s="2" t="s">
        <v>835</v>
      </c>
      <c r="C687" s="6">
        <v>684</v>
      </c>
      <c r="D687" s="7">
        <v>327820.42496312002</v>
      </c>
      <c r="E687" s="2" t="s">
        <v>152</v>
      </c>
      <c r="F687" s="6">
        <v>2002</v>
      </c>
      <c r="G687" s="6">
        <v>5</v>
      </c>
      <c r="H687" s="7">
        <v>30</v>
      </c>
      <c r="I687" s="6">
        <v>5</v>
      </c>
      <c r="J687" s="6">
        <v>2</v>
      </c>
      <c r="K687" s="6">
        <v>1</v>
      </c>
      <c r="L687" s="6">
        <v>15</v>
      </c>
      <c r="M687" s="6">
        <v>274772</v>
      </c>
      <c r="N687" s="6">
        <v>5495440</v>
      </c>
      <c r="O687" s="6">
        <v>73</v>
      </c>
      <c r="P687" s="7">
        <v>6963.4270399999996</v>
      </c>
      <c r="Q687" s="7">
        <v>29279.7556</v>
      </c>
      <c r="R687" s="9">
        <f>D687*VLOOKUP(1001,적!$A$4:$D$13,3,FALSE)</f>
        <v>655640.84992624004</v>
      </c>
      <c r="S687" s="9">
        <f>D687*VLOOKUP(F687,보스!$A$4:$E$5,4,FALSE)</f>
        <v>23603070.597344641</v>
      </c>
    </row>
    <row r="688" spans="1:19" ht="21.95" customHeight="1">
      <c r="A688" s="6">
        <v>5685</v>
      </c>
      <c r="B688" s="2" t="s">
        <v>836</v>
      </c>
      <c r="C688" s="6">
        <v>685</v>
      </c>
      <c r="D688" s="7">
        <v>329283.3927424</v>
      </c>
      <c r="E688" s="2" t="s">
        <v>152</v>
      </c>
      <c r="F688" s="6">
        <v>2001</v>
      </c>
      <c r="G688" s="6">
        <v>5</v>
      </c>
      <c r="H688" s="7">
        <v>30</v>
      </c>
      <c r="I688" s="6">
        <v>5</v>
      </c>
      <c r="J688" s="6">
        <v>2</v>
      </c>
      <c r="K688" s="6">
        <v>1</v>
      </c>
      <c r="L688" s="6">
        <v>15</v>
      </c>
      <c r="M688" s="6">
        <v>275178</v>
      </c>
      <c r="N688" s="6">
        <v>5503560</v>
      </c>
      <c r="O688" s="6">
        <v>73</v>
      </c>
      <c r="P688" s="7">
        <v>6982.0478000000003</v>
      </c>
      <c r="Q688" s="7">
        <v>29358.049500000001</v>
      </c>
      <c r="R688" s="9">
        <f>D688*VLOOKUP(1001,적!$A$4:$D$13,3,FALSE)</f>
        <v>658566.7854848</v>
      </c>
      <c r="S688" s="9">
        <f>D688*VLOOKUP(F688,보스!$A$4:$E$5,4,FALSE)</f>
        <v>23708404.2774528</v>
      </c>
    </row>
    <row r="689" spans="1:19" ht="21.95" customHeight="1">
      <c r="A689" s="6">
        <v>5686</v>
      </c>
      <c r="B689" s="2" t="s">
        <v>837</v>
      </c>
      <c r="C689" s="6">
        <v>686</v>
      </c>
      <c r="D689" s="7">
        <v>330751.44123599998</v>
      </c>
      <c r="E689" s="2" t="s">
        <v>152</v>
      </c>
      <c r="F689" s="6">
        <v>2002</v>
      </c>
      <c r="G689" s="6">
        <v>5</v>
      </c>
      <c r="H689" s="7">
        <v>30</v>
      </c>
      <c r="I689" s="6">
        <v>5</v>
      </c>
      <c r="J689" s="6">
        <v>2</v>
      </c>
      <c r="K689" s="6">
        <v>1</v>
      </c>
      <c r="L689" s="6">
        <v>15</v>
      </c>
      <c r="M689" s="6">
        <v>275584</v>
      </c>
      <c r="N689" s="6">
        <v>5511680</v>
      </c>
      <c r="O689" s="6">
        <v>73</v>
      </c>
      <c r="P689" s="7">
        <v>7000.6931999999997</v>
      </c>
      <c r="Q689" s="7">
        <v>29436.447</v>
      </c>
      <c r="R689" s="9">
        <f>D689*VLOOKUP(1001,적!$A$4:$D$13,3,FALSE)</f>
        <v>661502.88247199997</v>
      </c>
      <c r="S689" s="9">
        <f>D689*VLOOKUP(F689,보스!$A$4:$E$5,4,FALSE)</f>
        <v>23814103.768991999</v>
      </c>
    </row>
    <row r="690" spans="1:19" ht="21.95" customHeight="1">
      <c r="A690" s="6">
        <v>5687</v>
      </c>
      <c r="B690" s="2" t="s">
        <v>838</v>
      </c>
      <c r="C690" s="6">
        <v>687</v>
      </c>
      <c r="D690" s="7">
        <v>332224.58307056001</v>
      </c>
      <c r="E690" s="2" t="s">
        <v>152</v>
      </c>
      <c r="F690" s="6">
        <v>2001</v>
      </c>
      <c r="G690" s="6">
        <v>5</v>
      </c>
      <c r="H690" s="7">
        <v>30</v>
      </c>
      <c r="I690" s="6">
        <v>5</v>
      </c>
      <c r="J690" s="6">
        <v>2</v>
      </c>
      <c r="K690" s="6">
        <v>1</v>
      </c>
      <c r="L690" s="6">
        <v>15</v>
      </c>
      <c r="M690" s="6">
        <v>275990</v>
      </c>
      <c r="N690" s="6">
        <v>5519800</v>
      </c>
      <c r="O690" s="6">
        <v>73</v>
      </c>
      <c r="P690" s="7">
        <v>7019.3632399999997</v>
      </c>
      <c r="Q690" s="7">
        <v>29514.948100000001</v>
      </c>
      <c r="R690" s="9">
        <f>D690*VLOOKUP(1001,적!$A$4:$D$13,3,FALSE)</f>
        <v>664449.16614112002</v>
      </c>
      <c r="S690" s="9">
        <f>D690*VLOOKUP(F690,보스!$A$4:$E$5,4,FALSE)</f>
        <v>23920169.98108032</v>
      </c>
    </row>
    <row r="691" spans="1:19" ht="21.95" customHeight="1">
      <c r="A691" s="6">
        <v>5688</v>
      </c>
      <c r="B691" s="2" t="s">
        <v>839</v>
      </c>
      <c r="C691" s="6">
        <v>688</v>
      </c>
      <c r="D691" s="7">
        <v>333702.83088999998</v>
      </c>
      <c r="E691" s="2" t="s">
        <v>152</v>
      </c>
      <c r="F691" s="6">
        <v>2002</v>
      </c>
      <c r="G691" s="6">
        <v>5</v>
      </c>
      <c r="H691" s="7">
        <v>30</v>
      </c>
      <c r="I691" s="6">
        <v>5</v>
      </c>
      <c r="J691" s="6">
        <v>2</v>
      </c>
      <c r="K691" s="6">
        <v>1</v>
      </c>
      <c r="L691" s="6">
        <v>15</v>
      </c>
      <c r="M691" s="6">
        <v>276396</v>
      </c>
      <c r="N691" s="6">
        <v>5527920</v>
      </c>
      <c r="O691" s="6">
        <v>73</v>
      </c>
      <c r="P691" s="7">
        <v>7038.0579200000002</v>
      </c>
      <c r="Q691" s="7">
        <v>29593.552800000001</v>
      </c>
      <c r="R691" s="9">
        <f>D691*VLOOKUP(1001,적!$A$4:$D$13,3,FALSE)</f>
        <v>667405.66177999997</v>
      </c>
      <c r="S691" s="9">
        <f>D691*VLOOKUP(F691,보스!$A$4:$E$5,4,FALSE)</f>
        <v>24026603.824079998</v>
      </c>
    </row>
    <row r="692" spans="1:19" ht="21.95" customHeight="1">
      <c r="A692" s="6">
        <v>5689</v>
      </c>
      <c r="B692" s="2" t="s">
        <v>840</v>
      </c>
      <c r="C692" s="6">
        <v>689</v>
      </c>
      <c r="D692" s="7">
        <v>335186.19735551998</v>
      </c>
      <c r="E692" s="2" t="s">
        <v>152</v>
      </c>
      <c r="F692" s="6">
        <v>2001</v>
      </c>
      <c r="G692" s="6">
        <v>5</v>
      </c>
      <c r="H692" s="7">
        <v>30</v>
      </c>
      <c r="I692" s="6">
        <v>5</v>
      </c>
      <c r="J692" s="6">
        <v>2</v>
      </c>
      <c r="K692" s="6">
        <v>1</v>
      </c>
      <c r="L692" s="6">
        <v>15</v>
      </c>
      <c r="M692" s="6">
        <v>276802</v>
      </c>
      <c r="N692" s="6">
        <v>5536040</v>
      </c>
      <c r="O692" s="6">
        <v>73</v>
      </c>
      <c r="P692" s="7">
        <v>7056.7772400000003</v>
      </c>
      <c r="Q692" s="7">
        <v>29672.2611</v>
      </c>
      <c r="R692" s="9">
        <f>D692*VLOOKUP(1001,적!$A$4:$D$13,3,FALSE)</f>
        <v>670372.39471103996</v>
      </c>
      <c r="S692" s="9">
        <f>D692*VLOOKUP(F692,보스!$A$4:$E$5,4,FALSE)</f>
        <v>24133406.209597439</v>
      </c>
    </row>
    <row r="693" spans="1:19" ht="21.95" customHeight="1">
      <c r="A693" s="6">
        <v>5690</v>
      </c>
      <c r="B693" s="2" t="s">
        <v>841</v>
      </c>
      <c r="C693" s="6">
        <v>690</v>
      </c>
      <c r="D693" s="7">
        <v>336674.69514560001</v>
      </c>
      <c r="E693" s="2" t="s">
        <v>152</v>
      </c>
      <c r="F693" s="6">
        <v>2002</v>
      </c>
      <c r="G693" s="6">
        <v>5</v>
      </c>
      <c r="H693" s="7">
        <v>30</v>
      </c>
      <c r="I693" s="6">
        <v>5</v>
      </c>
      <c r="J693" s="6">
        <v>2</v>
      </c>
      <c r="K693" s="6">
        <v>1</v>
      </c>
      <c r="L693" s="6">
        <v>15</v>
      </c>
      <c r="M693" s="6">
        <v>277208</v>
      </c>
      <c r="N693" s="6">
        <v>5544160</v>
      </c>
      <c r="O693" s="6">
        <v>74</v>
      </c>
      <c r="P693" s="7">
        <v>7075.5212000000001</v>
      </c>
      <c r="Q693" s="7">
        <v>29751.073</v>
      </c>
      <c r="R693" s="9">
        <f>D693*VLOOKUP(1001,적!$A$4:$D$13,3,FALSE)</f>
        <v>673349.39029120002</v>
      </c>
      <c r="S693" s="9">
        <f>D693*VLOOKUP(F693,보스!$A$4:$E$5,4,FALSE)</f>
        <v>24240578.050483201</v>
      </c>
    </row>
    <row r="694" spans="1:19" ht="21.95" customHeight="1">
      <c r="A694" s="6">
        <v>5691</v>
      </c>
      <c r="B694" s="2" t="s">
        <v>842</v>
      </c>
      <c r="C694" s="6">
        <v>691</v>
      </c>
      <c r="D694" s="7">
        <v>338168.33695600001</v>
      </c>
      <c r="E694" s="2" t="s">
        <v>152</v>
      </c>
      <c r="F694" s="6">
        <v>2001</v>
      </c>
      <c r="G694" s="6">
        <v>5</v>
      </c>
      <c r="H694" s="7">
        <v>30</v>
      </c>
      <c r="I694" s="6">
        <v>5</v>
      </c>
      <c r="J694" s="6">
        <v>2</v>
      </c>
      <c r="K694" s="6">
        <v>1</v>
      </c>
      <c r="L694" s="6">
        <v>15</v>
      </c>
      <c r="M694" s="6">
        <v>277614</v>
      </c>
      <c r="N694" s="6">
        <v>5552280</v>
      </c>
      <c r="O694" s="6">
        <v>74</v>
      </c>
      <c r="P694" s="7">
        <v>7094.2897999999996</v>
      </c>
      <c r="Q694" s="7">
        <v>29829.988499999999</v>
      </c>
      <c r="R694" s="9">
        <f>D694*VLOOKUP(1001,적!$A$4:$D$13,3,FALSE)</f>
        <v>676336.67391200003</v>
      </c>
      <c r="S694" s="9">
        <f>D694*VLOOKUP(F694,보스!$A$4:$E$5,4,FALSE)</f>
        <v>24348120.260832001</v>
      </c>
    </row>
    <row r="695" spans="1:19" ht="21.95" customHeight="1">
      <c r="A695" s="6">
        <v>5692</v>
      </c>
      <c r="B695" s="2" t="s">
        <v>843</v>
      </c>
      <c r="C695" s="6">
        <v>692</v>
      </c>
      <c r="D695" s="7">
        <v>339667.13549975998</v>
      </c>
      <c r="E695" s="2" t="s">
        <v>152</v>
      </c>
      <c r="F695" s="6">
        <v>2002</v>
      </c>
      <c r="G695" s="6">
        <v>5</v>
      </c>
      <c r="H695" s="7">
        <v>30</v>
      </c>
      <c r="I695" s="6">
        <v>5</v>
      </c>
      <c r="J695" s="6">
        <v>2</v>
      </c>
      <c r="K695" s="6">
        <v>1</v>
      </c>
      <c r="L695" s="6">
        <v>15</v>
      </c>
      <c r="M695" s="6">
        <v>278020</v>
      </c>
      <c r="N695" s="6">
        <v>5560400</v>
      </c>
      <c r="O695" s="6">
        <v>74</v>
      </c>
      <c r="P695" s="7">
        <v>7113.0830400000004</v>
      </c>
      <c r="Q695" s="7">
        <v>29909.007600000001</v>
      </c>
      <c r="R695" s="9">
        <f>D695*VLOOKUP(1001,적!$A$4:$D$13,3,FALSE)</f>
        <v>679334.27099951997</v>
      </c>
      <c r="S695" s="9">
        <f>D695*VLOOKUP(F695,보스!$A$4:$E$5,4,FALSE)</f>
        <v>24456033.755982719</v>
      </c>
    </row>
    <row r="696" spans="1:19" ht="21.95" customHeight="1">
      <c r="A696" s="6">
        <v>5693</v>
      </c>
      <c r="B696" s="2" t="s">
        <v>844</v>
      </c>
      <c r="C696" s="6">
        <v>693</v>
      </c>
      <c r="D696" s="7">
        <v>341171.10350720002</v>
      </c>
      <c r="E696" s="2" t="s">
        <v>152</v>
      </c>
      <c r="F696" s="6">
        <v>2001</v>
      </c>
      <c r="G696" s="6">
        <v>5</v>
      </c>
      <c r="H696" s="7">
        <v>30</v>
      </c>
      <c r="I696" s="6">
        <v>5</v>
      </c>
      <c r="J696" s="6">
        <v>2</v>
      </c>
      <c r="K696" s="6">
        <v>1</v>
      </c>
      <c r="L696" s="6">
        <v>15</v>
      </c>
      <c r="M696" s="6">
        <v>278427</v>
      </c>
      <c r="N696" s="6">
        <v>5568540</v>
      </c>
      <c r="O696" s="6">
        <v>74</v>
      </c>
      <c r="P696" s="7">
        <v>7131.90092</v>
      </c>
      <c r="Q696" s="7">
        <v>29988.130300000001</v>
      </c>
      <c r="R696" s="9">
        <f>D696*VLOOKUP(1001,적!$A$4:$D$13,3,FALSE)</f>
        <v>682342.20701440005</v>
      </c>
      <c r="S696" s="9">
        <f>D696*VLOOKUP(F696,보스!$A$4:$E$5,4,FALSE)</f>
        <v>24564319.452518404</v>
      </c>
    </row>
    <row r="697" spans="1:19" ht="21.95" customHeight="1">
      <c r="A697" s="6">
        <v>5694</v>
      </c>
      <c r="B697" s="2" t="s">
        <v>845</v>
      </c>
      <c r="C697" s="6">
        <v>694</v>
      </c>
      <c r="D697" s="7">
        <v>342680.25372591999</v>
      </c>
      <c r="E697" s="2" t="s">
        <v>152</v>
      </c>
      <c r="F697" s="6">
        <v>2002</v>
      </c>
      <c r="G697" s="6">
        <v>5</v>
      </c>
      <c r="H697" s="7">
        <v>30</v>
      </c>
      <c r="I697" s="6">
        <v>5</v>
      </c>
      <c r="J697" s="6">
        <v>2</v>
      </c>
      <c r="K697" s="6">
        <v>1</v>
      </c>
      <c r="L697" s="6">
        <v>15</v>
      </c>
      <c r="M697" s="6">
        <v>278833</v>
      </c>
      <c r="N697" s="6">
        <v>5576660</v>
      </c>
      <c r="O697" s="6">
        <v>74</v>
      </c>
      <c r="P697" s="7">
        <v>7150.7434400000002</v>
      </c>
      <c r="Q697" s="7">
        <v>30067.356599999999</v>
      </c>
      <c r="R697" s="9">
        <f>D697*VLOOKUP(1001,적!$A$4:$D$13,3,FALSE)</f>
        <v>685360.50745183998</v>
      </c>
      <c r="S697" s="9">
        <f>D697*VLOOKUP(F697,보스!$A$4:$E$5,4,FALSE)</f>
        <v>24672978.268266238</v>
      </c>
    </row>
    <row r="698" spans="1:19" ht="21.95" customHeight="1">
      <c r="A698" s="6">
        <v>5695</v>
      </c>
      <c r="B698" s="2" t="s">
        <v>846</v>
      </c>
      <c r="C698" s="6">
        <v>695</v>
      </c>
      <c r="D698" s="7">
        <v>344194.59892080002</v>
      </c>
      <c r="E698" s="2" t="s">
        <v>152</v>
      </c>
      <c r="F698" s="6">
        <v>2001</v>
      </c>
      <c r="G698" s="6">
        <v>5</v>
      </c>
      <c r="H698" s="7">
        <v>30</v>
      </c>
      <c r="I698" s="6">
        <v>5</v>
      </c>
      <c r="J698" s="6">
        <v>2</v>
      </c>
      <c r="K698" s="6">
        <v>1</v>
      </c>
      <c r="L698" s="6">
        <v>15</v>
      </c>
      <c r="M698" s="6">
        <v>279239</v>
      </c>
      <c r="N698" s="6">
        <v>5584780</v>
      </c>
      <c r="O698" s="6">
        <v>74</v>
      </c>
      <c r="P698" s="7">
        <v>7169.6106</v>
      </c>
      <c r="Q698" s="7">
        <v>30146.6865</v>
      </c>
      <c r="R698" s="9">
        <f>D698*VLOOKUP(1001,적!$A$4:$D$13,3,FALSE)</f>
        <v>688389.19784160005</v>
      </c>
      <c r="S698" s="9">
        <f>D698*VLOOKUP(F698,보스!$A$4:$E$5,4,FALSE)</f>
        <v>24782011.1222976</v>
      </c>
    </row>
    <row r="699" spans="1:19" ht="21.95" customHeight="1">
      <c r="A699" s="6">
        <v>5696</v>
      </c>
      <c r="B699" s="2" t="s">
        <v>847</v>
      </c>
      <c r="C699" s="6">
        <v>696</v>
      </c>
      <c r="D699" s="7">
        <v>345714.15187399997</v>
      </c>
      <c r="E699" s="2" t="s">
        <v>152</v>
      </c>
      <c r="F699" s="6">
        <v>2002</v>
      </c>
      <c r="G699" s="6">
        <v>5</v>
      </c>
      <c r="H699" s="7">
        <v>30</v>
      </c>
      <c r="I699" s="6">
        <v>5</v>
      </c>
      <c r="J699" s="6">
        <v>2</v>
      </c>
      <c r="K699" s="6">
        <v>1</v>
      </c>
      <c r="L699" s="6">
        <v>15</v>
      </c>
      <c r="M699" s="6">
        <v>279645</v>
      </c>
      <c r="N699" s="6">
        <v>5592900</v>
      </c>
      <c r="O699" s="6">
        <v>74</v>
      </c>
      <c r="P699" s="7">
        <v>7188.5024000000003</v>
      </c>
      <c r="Q699" s="7">
        <v>30226.12</v>
      </c>
      <c r="R699" s="9">
        <f>D699*VLOOKUP(1001,적!$A$4:$D$13,3,FALSE)</f>
        <v>691428.30374799995</v>
      </c>
      <c r="S699" s="9">
        <f>D699*VLOOKUP(F699,보스!$A$4:$E$5,4,FALSE)</f>
        <v>24891418.934928</v>
      </c>
    </row>
    <row r="700" spans="1:19" ht="21.95" customHeight="1">
      <c r="A700" s="6">
        <v>5697</v>
      </c>
      <c r="B700" s="2" t="s">
        <v>848</v>
      </c>
      <c r="C700" s="6">
        <v>697</v>
      </c>
      <c r="D700" s="7">
        <v>347238.92538496002</v>
      </c>
      <c r="E700" s="2" t="s">
        <v>152</v>
      </c>
      <c r="F700" s="6">
        <v>2001</v>
      </c>
      <c r="G700" s="6">
        <v>5</v>
      </c>
      <c r="H700" s="7">
        <v>30</v>
      </c>
      <c r="I700" s="6">
        <v>5</v>
      </c>
      <c r="J700" s="6">
        <v>2</v>
      </c>
      <c r="K700" s="6">
        <v>1</v>
      </c>
      <c r="L700" s="6">
        <v>15</v>
      </c>
      <c r="M700" s="6">
        <v>280051</v>
      </c>
      <c r="N700" s="6">
        <v>5601020</v>
      </c>
      <c r="O700" s="6">
        <v>74</v>
      </c>
      <c r="P700" s="7">
        <v>7207.4188400000003</v>
      </c>
      <c r="Q700" s="7">
        <v>30305.6571</v>
      </c>
      <c r="R700" s="9">
        <f>D700*VLOOKUP(1001,적!$A$4:$D$13,3,FALSE)</f>
        <v>694477.85076992004</v>
      </c>
      <c r="S700" s="9">
        <f>D700*VLOOKUP(F700,보스!$A$4:$E$5,4,FALSE)</f>
        <v>25001202.627717122</v>
      </c>
    </row>
    <row r="701" spans="1:19" ht="21.95" customHeight="1">
      <c r="A701" s="6">
        <v>5698</v>
      </c>
      <c r="B701" s="2" t="s">
        <v>849</v>
      </c>
      <c r="C701" s="6">
        <v>698</v>
      </c>
      <c r="D701" s="7">
        <v>348768.93227039999</v>
      </c>
      <c r="E701" s="2" t="s">
        <v>152</v>
      </c>
      <c r="F701" s="6">
        <v>2002</v>
      </c>
      <c r="G701" s="6">
        <v>5</v>
      </c>
      <c r="H701" s="7">
        <v>30</v>
      </c>
      <c r="I701" s="6">
        <v>5</v>
      </c>
      <c r="J701" s="6">
        <v>2</v>
      </c>
      <c r="K701" s="6">
        <v>1</v>
      </c>
      <c r="L701" s="6">
        <v>15</v>
      </c>
      <c r="M701" s="6">
        <v>280457</v>
      </c>
      <c r="N701" s="6">
        <v>5609140</v>
      </c>
      <c r="O701" s="6">
        <v>74</v>
      </c>
      <c r="P701" s="7">
        <v>7226.3599199999999</v>
      </c>
      <c r="Q701" s="7">
        <v>30385.2978</v>
      </c>
      <c r="R701" s="9">
        <f>D701*VLOOKUP(1001,적!$A$4:$D$13,3,FALSE)</f>
        <v>697537.86454079999</v>
      </c>
      <c r="S701" s="9">
        <f>D701*VLOOKUP(F701,보스!$A$4:$E$5,4,FALSE)</f>
        <v>25111363.123468801</v>
      </c>
    </row>
    <row r="702" spans="1:19" ht="21.95" customHeight="1">
      <c r="A702" s="6">
        <v>5699</v>
      </c>
      <c r="B702" s="2" t="s">
        <v>850</v>
      </c>
      <c r="C702" s="6">
        <v>699</v>
      </c>
      <c r="D702" s="7">
        <v>350304.18536432</v>
      </c>
      <c r="E702" s="2" t="s">
        <v>152</v>
      </c>
      <c r="F702" s="6">
        <v>2001</v>
      </c>
      <c r="G702" s="6">
        <v>5</v>
      </c>
      <c r="H702" s="7">
        <v>30</v>
      </c>
      <c r="I702" s="6">
        <v>5</v>
      </c>
      <c r="J702" s="6">
        <v>2</v>
      </c>
      <c r="K702" s="6">
        <v>1</v>
      </c>
      <c r="L702" s="6">
        <v>15</v>
      </c>
      <c r="M702" s="6">
        <v>280863</v>
      </c>
      <c r="N702" s="6">
        <v>5617260</v>
      </c>
      <c r="O702" s="6">
        <v>74</v>
      </c>
      <c r="P702" s="7">
        <v>7245.32564</v>
      </c>
      <c r="Q702" s="7">
        <v>30465.042099999999</v>
      </c>
      <c r="R702" s="9">
        <f>D702*VLOOKUP(1001,적!$A$4:$D$13,3,FALSE)</f>
        <v>700608.37072864</v>
      </c>
      <c r="S702" s="9">
        <f>D702*VLOOKUP(F702,보스!$A$4:$E$5,4,FALSE)</f>
        <v>25221901.34623104</v>
      </c>
    </row>
    <row r="703" spans="1:19" ht="21.95" customHeight="1">
      <c r="A703" s="6">
        <v>5700</v>
      </c>
      <c r="B703" s="2" t="s">
        <v>851</v>
      </c>
      <c r="C703" s="6">
        <v>700</v>
      </c>
      <c r="D703" s="7">
        <v>351844.69751799997</v>
      </c>
      <c r="E703" s="2" t="s">
        <v>152</v>
      </c>
      <c r="F703" s="6">
        <v>2002</v>
      </c>
      <c r="G703" s="6">
        <v>5</v>
      </c>
      <c r="H703" s="7">
        <v>30</v>
      </c>
      <c r="I703" s="6">
        <v>5</v>
      </c>
      <c r="J703" s="6">
        <v>2</v>
      </c>
      <c r="K703" s="6">
        <v>1</v>
      </c>
      <c r="L703" s="6">
        <v>15</v>
      </c>
      <c r="M703" s="6">
        <v>281269</v>
      </c>
      <c r="N703" s="6">
        <v>5625380</v>
      </c>
      <c r="O703" s="6">
        <v>75</v>
      </c>
      <c r="P703" s="7">
        <v>7264.3159999999998</v>
      </c>
      <c r="Q703" s="7">
        <v>30544.89</v>
      </c>
      <c r="R703" s="9">
        <f>D703*VLOOKUP(1001,적!$A$4:$D$13,3,FALSE)</f>
        <v>703689.39503599994</v>
      </c>
      <c r="S703" s="9">
        <f>D703*VLOOKUP(F703,보스!$A$4:$E$5,4,FALSE)</f>
        <v>25332818.221295998</v>
      </c>
    </row>
    <row r="704" spans="1:19" ht="21.95" customHeight="1">
      <c r="A704" s="6">
        <v>5701</v>
      </c>
      <c r="B704" s="2" t="s">
        <v>852</v>
      </c>
      <c r="C704" s="6">
        <v>701</v>
      </c>
      <c r="D704" s="7">
        <v>353390.4816</v>
      </c>
      <c r="E704" s="2" t="s">
        <v>152</v>
      </c>
      <c r="F704" s="6">
        <v>2001</v>
      </c>
      <c r="G704" s="6">
        <v>5</v>
      </c>
      <c r="H704" s="7">
        <v>30</v>
      </c>
      <c r="I704" s="6">
        <v>5</v>
      </c>
      <c r="J704" s="6">
        <v>2</v>
      </c>
      <c r="K704" s="6">
        <v>1</v>
      </c>
      <c r="L704" s="6">
        <v>15</v>
      </c>
      <c r="M704" s="6">
        <v>281675</v>
      </c>
      <c r="N704" s="6">
        <v>5633500</v>
      </c>
      <c r="O704" s="6">
        <v>75</v>
      </c>
      <c r="P704" s="7">
        <v>7283.3310000000001</v>
      </c>
      <c r="Q704" s="7">
        <v>30624.841499999999</v>
      </c>
      <c r="R704" s="9">
        <f>D704*VLOOKUP(1001,적!$A$4:$D$13,3,FALSE)</f>
        <v>706780.9632</v>
      </c>
      <c r="S704" s="9">
        <f>D704*VLOOKUP(F704,보스!$A$4:$E$5,4,FALSE)</f>
        <v>25444114.6752</v>
      </c>
    </row>
    <row r="705" spans="1:19" ht="21.95" customHeight="1">
      <c r="A705" s="6">
        <v>5702</v>
      </c>
      <c r="B705" s="2" t="s">
        <v>853</v>
      </c>
      <c r="C705" s="6">
        <v>702</v>
      </c>
      <c r="D705" s="7">
        <v>354941.55049615999</v>
      </c>
      <c r="E705" s="2" t="s">
        <v>152</v>
      </c>
      <c r="F705" s="6">
        <v>2002</v>
      </c>
      <c r="G705" s="6">
        <v>5</v>
      </c>
      <c r="H705" s="7">
        <v>30</v>
      </c>
      <c r="I705" s="6">
        <v>5</v>
      </c>
      <c r="J705" s="6">
        <v>2</v>
      </c>
      <c r="K705" s="6">
        <v>1</v>
      </c>
      <c r="L705" s="6">
        <v>15</v>
      </c>
      <c r="M705" s="6">
        <v>282081</v>
      </c>
      <c r="N705" s="6">
        <v>5641620</v>
      </c>
      <c r="O705" s="6">
        <v>75</v>
      </c>
      <c r="P705" s="7">
        <v>7302.3706400000001</v>
      </c>
      <c r="Q705" s="7">
        <v>30704.8966</v>
      </c>
      <c r="R705" s="9">
        <f>D705*VLOOKUP(1001,적!$A$4:$D$13,3,FALSE)</f>
        <v>709883.10099231999</v>
      </c>
      <c r="S705" s="9">
        <f>D705*VLOOKUP(F705,보스!$A$4:$E$5,4,FALSE)</f>
        <v>25555791.63572352</v>
      </c>
    </row>
    <row r="706" spans="1:19" ht="21.95" customHeight="1">
      <c r="A706" s="6">
        <v>5703</v>
      </c>
      <c r="B706" s="2" t="s">
        <v>854</v>
      </c>
      <c r="C706" s="6">
        <v>703</v>
      </c>
      <c r="D706" s="7">
        <v>356497.91710959998</v>
      </c>
      <c r="E706" s="2" t="s">
        <v>152</v>
      </c>
      <c r="F706" s="6">
        <v>2001</v>
      </c>
      <c r="G706" s="6">
        <v>5</v>
      </c>
      <c r="H706" s="7">
        <v>30</v>
      </c>
      <c r="I706" s="6">
        <v>5</v>
      </c>
      <c r="J706" s="6">
        <v>2</v>
      </c>
      <c r="K706" s="6">
        <v>1</v>
      </c>
      <c r="L706" s="6">
        <v>15</v>
      </c>
      <c r="M706" s="6">
        <v>282487</v>
      </c>
      <c r="N706" s="6">
        <v>5649740</v>
      </c>
      <c r="O706" s="6">
        <v>75</v>
      </c>
      <c r="P706" s="7">
        <v>7321.4349199999997</v>
      </c>
      <c r="Q706" s="7">
        <v>30785.0553</v>
      </c>
      <c r="R706" s="9">
        <f>D706*VLOOKUP(1001,적!$A$4:$D$13,3,FALSE)</f>
        <v>712995.83421919995</v>
      </c>
      <c r="S706" s="9">
        <f>D706*VLOOKUP(F706,보스!$A$4:$E$5,4,FALSE)</f>
        <v>25667850.031891197</v>
      </c>
    </row>
    <row r="707" spans="1:19" ht="21.95" customHeight="1">
      <c r="A707" s="6">
        <v>5704</v>
      </c>
      <c r="B707" s="2" t="s">
        <v>855</v>
      </c>
      <c r="C707" s="6">
        <v>704</v>
      </c>
      <c r="D707" s="7">
        <v>358059.59436072002</v>
      </c>
      <c r="E707" s="2" t="s">
        <v>152</v>
      </c>
      <c r="F707" s="6">
        <v>2002</v>
      </c>
      <c r="G707" s="6">
        <v>5</v>
      </c>
      <c r="H707" s="7">
        <v>30</v>
      </c>
      <c r="I707" s="6">
        <v>5</v>
      </c>
      <c r="J707" s="6">
        <v>2</v>
      </c>
      <c r="K707" s="6">
        <v>1</v>
      </c>
      <c r="L707" s="6">
        <v>15</v>
      </c>
      <c r="M707" s="6">
        <v>282893</v>
      </c>
      <c r="N707" s="6">
        <v>5657860</v>
      </c>
      <c r="O707" s="6">
        <v>75</v>
      </c>
      <c r="P707" s="7">
        <v>7340.5238399999998</v>
      </c>
      <c r="Q707" s="7">
        <v>30865.317599999998</v>
      </c>
      <c r="R707" s="9">
        <f>D707*VLOOKUP(1001,적!$A$4:$D$13,3,FALSE)</f>
        <v>716119.18872144003</v>
      </c>
      <c r="S707" s="9">
        <f>D707*VLOOKUP(F707,보스!$A$4:$E$5,4,FALSE)</f>
        <v>25780290.79397184</v>
      </c>
    </row>
    <row r="708" spans="1:19" ht="21.95" customHeight="1">
      <c r="A708" s="6">
        <v>5705</v>
      </c>
      <c r="B708" s="2" t="s">
        <v>856</v>
      </c>
      <c r="C708" s="6">
        <v>705</v>
      </c>
      <c r="D708" s="7">
        <v>359626.5951872</v>
      </c>
      <c r="E708" s="2" t="s">
        <v>152</v>
      </c>
      <c r="F708" s="6">
        <v>2001</v>
      </c>
      <c r="G708" s="6">
        <v>5</v>
      </c>
      <c r="H708" s="7">
        <v>30</v>
      </c>
      <c r="I708" s="6">
        <v>5</v>
      </c>
      <c r="J708" s="6">
        <v>2</v>
      </c>
      <c r="K708" s="6">
        <v>1</v>
      </c>
      <c r="L708" s="6">
        <v>15</v>
      </c>
      <c r="M708" s="6">
        <v>283299</v>
      </c>
      <c r="N708" s="6">
        <v>5665980</v>
      </c>
      <c r="O708" s="6">
        <v>75</v>
      </c>
      <c r="P708" s="7">
        <v>7359.6373999999996</v>
      </c>
      <c r="Q708" s="7">
        <v>30945.683499999999</v>
      </c>
      <c r="R708" s="9">
        <f>D708*VLOOKUP(1001,적!$A$4:$D$13,3,FALSE)</f>
        <v>719253.1903744</v>
      </c>
      <c r="S708" s="9">
        <f>D708*VLOOKUP(F708,보스!$A$4:$E$5,4,FALSE)</f>
        <v>25893114.853478402</v>
      </c>
    </row>
    <row r="709" spans="1:19" ht="21.95" customHeight="1">
      <c r="A709" s="6">
        <v>5706</v>
      </c>
      <c r="B709" s="2" t="s">
        <v>857</v>
      </c>
      <c r="C709" s="6">
        <v>706</v>
      </c>
      <c r="D709" s="7">
        <v>361198.93254399998</v>
      </c>
      <c r="E709" s="2" t="s">
        <v>152</v>
      </c>
      <c r="F709" s="6">
        <v>2002</v>
      </c>
      <c r="G709" s="6">
        <v>5</v>
      </c>
      <c r="H709" s="7">
        <v>30</v>
      </c>
      <c r="I709" s="6">
        <v>5</v>
      </c>
      <c r="J709" s="6">
        <v>2</v>
      </c>
      <c r="K709" s="6">
        <v>1</v>
      </c>
      <c r="L709" s="6">
        <v>15</v>
      </c>
      <c r="M709" s="6">
        <v>283705</v>
      </c>
      <c r="N709" s="6">
        <v>5674100</v>
      </c>
      <c r="O709" s="6">
        <v>75</v>
      </c>
      <c r="P709" s="7">
        <v>7378.7755999999999</v>
      </c>
      <c r="Q709" s="7">
        <v>31026.152999999998</v>
      </c>
      <c r="R709" s="9">
        <f>D709*VLOOKUP(1001,적!$A$4:$D$13,3,FALSE)</f>
        <v>722397.86508799996</v>
      </c>
      <c r="S709" s="9">
        <f>D709*VLOOKUP(F709,보스!$A$4:$E$5,4,FALSE)</f>
        <v>26006323.143167999</v>
      </c>
    </row>
    <row r="710" spans="1:19" ht="21.95" customHeight="1">
      <c r="A710" s="6">
        <v>5707</v>
      </c>
      <c r="B710" s="2" t="s">
        <v>858</v>
      </c>
      <c r="C710" s="6">
        <v>707</v>
      </c>
      <c r="D710" s="7">
        <v>362776.61940336</v>
      </c>
      <c r="E710" s="2" t="s">
        <v>152</v>
      </c>
      <c r="F710" s="6">
        <v>2001</v>
      </c>
      <c r="G710" s="6">
        <v>5</v>
      </c>
      <c r="H710" s="7">
        <v>30</v>
      </c>
      <c r="I710" s="6">
        <v>5</v>
      </c>
      <c r="J710" s="6">
        <v>2</v>
      </c>
      <c r="K710" s="6">
        <v>1</v>
      </c>
      <c r="L710" s="6">
        <v>15</v>
      </c>
      <c r="M710" s="6">
        <v>284111</v>
      </c>
      <c r="N710" s="6">
        <v>5682220</v>
      </c>
      <c r="O710" s="6">
        <v>75</v>
      </c>
      <c r="P710" s="7">
        <v>7397.9384399999999</v>
      </c>
      <c r="Q710" s="7">
        <v>31106.7261</v>
      </c>
      <c r="R710" s="9">
        <f>D710*VLOOKUP(1001,적!$A$4:$D$13,3,FALSE)</f>
        <v>725553.23880672001</v>
      </c>
      <c r="S710" s="9">
        <f>D710*VLOOKUP(F710,보스!$A$4:$E$5,4,FALSE)</f>
        <v>26119916.59704192</v>
      </c>
    </row>
    <row r="711" spans="1:19" ht="21.95" customHeight="1">
      <c r="A711" s="6">
        <v>5708</v>
      </c>
      <c r="B711" s="2" t="s">
        <v>859</v>
      </c>
      <c r="C711" s="6">
        <v>708</v>
      </c>
      <c r="D711" s="7">
        <v>364359.66875479999</v>
      </c>
      <c r="E711" s="2" t="s">
        <v>152</v>
      </c>
      <c r="F711" s="6">
        <v>2002</v>
      </c>
      <c r="G711" s="6">
        <v>5</v>
      </c>
      <c r="H711" s="7">
        <v>30</v>
      </c>
      <c r="I711" s="6">
        <v>5</v>
      </c>
      <c r="J711" s="6">
        <v>2</v>
      </c>
      <c r="K711" s="6">
        <v>1</v>
      </c>
      <c r="L711" s="6">
        <v>15</v>
      </c>
      <c r="M711" s="6">
        <v>284517</v>
      </c>
      <c r="N711" s="6">
        <v>5690340</v>
      </c>
      <c r="O711" s="6">
        <v>75</v>
      </c>
      <c r="P711" s="7">
        <v>7417.1259200000004</v>
      </c>
      <c r="Q711" s="7">
        <v>31187.4028</v>
      </c>
      <c r="R711" s="9">
        <f>D711*VLOOKUP(1001,적!$A$4:$D$13,3,FALSE)</f>
        <v>728719.33750959998</v>
      </c>
      <c r="S711" s="9">
        <f>D711*VLOOKUP(F711,보스!$A$4:$E$5,4,FALSE)</f>
        <v>26233896.150345601</v>
      </c>
    </row>
    <row r="712" spans="1:19" ht="21.95" customHeight="1">
      <c r="A712" s="6">
        <v>5709</v>
      </c>
      <c r="B712" s="2" t="s">
        <v>860</v>
      </c>
      <c r="C712" s="6">
        <v>709</v>
      </c>
      <c r="D712" s="7">
        <v>365948.09360512003</v>
      </c>
      <c r="E712" s="2" t="s">
        <v>152</v>
      </c>
      <c r="F712" s="6">
        <v>2001</v>
      </c>
      <c r="G712" s="6">
        <v>5</v>
      </c>
      <c r="H712" s="7">
        <v>30</v>
      </c>
      <c r="I712" s="6">
        <v>5</v>
      </c>
      <c r="J712" s="6">
        <v>2</v>
      </c>
      <c r="K712" s="6">
        <v>1</v>
      </c>
      <c r="L712" s="6">
        <v>15</v>
      </c>
      <c r="M712" s="6">
        <v>284923</v>
      </c>
      <c r="N712" s="6">
        <v>5698460</v>
      </c>
      <c r="O712" s="6">
        <v>75</v>
      </c>
      <c r="P712" s="7">
        <v>7436.3380399999996</v>
      </c>
      <c r="Q712" s="7">
        <v>31268.183099999998</v>
      </c>
      <c r="R712" s="9">
        <f>D712*VLOOKUP(1001,적!$A$4:$D$13,3,FALSE)</f>
        <v>731896.18721024005</v>
      </c>
      <c r="S712" s="9">
        <f>D712*VLOOKUP(F712,보스!$A$4:$E$5,4,FALSE)</f>
        <v>26348262.739568643</v>
      </c>
    </row>
    <row r="713" spans="1:19" ht="21.95" customHeight="1">
      <c r="A713" s="6">
        <v>5710</v>
      </c>
      <c r="B713" s="2" t="s">
        <v>861</v>
      </c>
      <c r="C713" s="6">
        <v>710</v>
      </c>
      <c r="D713" s="7">
        <v>367541.90697840002</v>
      </c>
      <c r="E713" s="2" t="s">
        <v>152</v>
      </c>
      <c r="F713" s="6">
        <v>2002</v>
      </c>
      <c r="G713" s="6">
        <v>5</v>
      </c>
      <c r="H713" s="7">
        <v>30</v>
      </c>
      <c r="I713" s="6">
        <v>5</v>
      </c>
      <c r="J713" s="6">
        <v>2</v>
      </c>
      <c r="K713" s="6">
        <v>1</v>
      </c>
      <c r="L713" s="6">
        <v>15</v>
      </c>
      <c r="M713" s="6">
        <v>285329</v>
      </c>
      <c r="N713" s="6">
        <v>5706580</v>
      </c>
      <c r="O713" s="6">
        <v>76</v>
      </c>
      <c r="P713" s="7">
        <v>7455.5748000000003</v>
      </c>
      <c r="Q713" s="7">
        <v>31349.066999999999</v>
      </c>
      <c r="R713" s="9">
        <f>D713*VLOOKUP(1001,적!$A$4:$D$13,3,FALSE)</f>
        <v>735083.81395680003</v>
      </c>
      <c r="S713" s="9">
        <f>D713*VLOOKUP(F713,보스!$A$4:$E$5,4,FALSE)</f>
        <v>26463017.302444801</v>
      </c>
    </row>
    <row r="714" spans="1:19" ht="21.95" customHeight="1">
      <c r="A714" s="6">
        <v>5711</v>
      </c>
      <c r="B714" s="2" t="s">
        <v>862</v>
      </c>
      <c r="C714" s="6">
        <v>711</v>
      </c>
      <c r="D714" s="7">
        <v>369141.12191599997</v>
      </c>
      <c r="E714" s="2" t="s">
        <v>152</v>
      </c>
      <c r="F714" s="6">
        <v>2001</v>
      </c>
      <c r="G714" s="6">
        <v>5</v>
      </c>
      <c r="H714" s="7">
        <v>30</v>
      </c>
      <c r="I714" s="6">
        <v>5</v>
      </c>
      <c r="J714" s="6">
        <v>2</v>
      </c>
      <c r="K714" s="6">
        <v>1</v>
      </c>
      <c r="L714" s="6">
        <v>15</v>
      </c>
      <c r="M714" s="6">
        <v>285735</v>
      </c>
      <c r="N714" s="6">
        <v>5714700</v>
      </c>
      <c r="O714" s="6">
        <v>76</v>
      </c>
      <c r="P714" s="7">
        <v>7474.8361999999997</v>
      </c>
      <c r="Q714" s="7">
        <v>31430.054499999998</v>
      </c>
      <c r="R714" s="9">
        <f>D714*VLOOKUP(1001,적!$A$4:$D$13,3,FALSE)</f>
        <v>738282.24383199995</v>
      </c>
      <c r="S714" s="9">
        <f>D714*VLOOKUP(F714,보스!$A$4:$E$5,4,FALSE)</f>
        <v>26578160.777951997</v>
      </c>
    </row>
    <row r="715" spans="1:19" ht="21.95" customHeight="1">
      <c r="A715" s="6">
        <v>5712</v>
      </c>
      <c r="B715" s="2" t="s">
        <v>863</v>
      </c>
      <c r="C715" s="6">
        <v>712</v>
      </c>
      <c r="D715" s="7">
        <v>370745.75147656002</v>
      </c>
      <c r="E715" s="2" t="s">
        <v>152</v>
      </c>
      <c r="F715" s="6">
        <v>2002</v>
      </c>
      <c r="G715" s="6">
        <v>5</v>
      </c>
      <c r="H715" s="7">
        <v>30</v>
      </c>
      <c r="I715" s="6">
        <v>5</v>
      </c>
      <c r="J715" s="6">
        <v>2</v>
      </c>
      <c r="K715" s="6">
        <v>1</v>
      </c>
      <c r="L715" s="6">
        <v>15</v>
      </c>
      <c r="M715" s="6">
        <v>286141</v>
      </c>
      <c r="N715" s="6">
        <v>5722820</v>
      </c>
      <c r="O715" s="6">
        <v>76</v>
      </c>
      <c r="P715" s="7">
        <v>7494.1222399999997</v>
      </c>
      <c r="Q715" s="7">
        <v>31511.1456</v>
      </c>
      <c r="R715" s="9">
        <f>D715*VLOOKUP(1001,적!$A$4:$D$13,3,FALSE)</f>
        <v>741491.50295312004</v>
      </c>
      <c r="S715" s="9">
        <f>D715*VLOOKUP(F715,보스!$A$4:$E$5,4,FALSE)</f>
        <v>26693694.10631232</v>
      </c>
    </row>
    <row r="716" spans="1:19" ht="21.95" customHeight="1">
      <c r="A716" s="6">
        <v>5713</v>
      </c>
      <c r="B716" s="2" t="s">
        <v>864</v>
      </c>
      <c r="C716" s="6">
        <v>713</v>
      </c>
      <c r="D716" s="7">
        <v>372355.80873599998</v>
      </c>
      <c r="E716" s="2" t="s">
        <v>152</v>
      </c>
      <c r="F716" s="6">
        <v>2001</v>
      </c>
      <c r="G716" s="6">
        <v>5</v>
      </c>
      <c r="H716" s="7">
        <v>30</v>
      </c>
      <c r="I716" s="6">
        <v>5</v>
      </c>
      <c r="J716" s="6">
        <v>2</v>
      </c>
      <c r="K716" s="6">
        <v>1</v>
      </c>
      <c r="L716" s="6">
        <v>15</v>
      </c>
      <c r="M716" s="6">
        <v>286548</v>
      </c>
      <c r="N716" s="6">
        <v>5730960</v>
      </c>
      <c r="O716" s="6">
        <v>76</v>
      </c>
      <c r="P716" s="7">
        <v>7513.4329200000002</v>
      </c>
      <c r="Q716" s="7">
        <v>31592.3403</v>
      </c>
      <c r="R716" s="9">
        <f>D716*VLOOKUP(1001,적!$A$4:$D$13,3,FALSE)</f>
        <v>744711.61747199995</v>
      </c>
      <c r="S716" s="9">
        <f>D716*VLOOKUP(F716,보스!$A$4:$E$5,4,FALSE)</f>
        <v>26809618.228992</v>
      </c>
    </row>
    <row r="717" spans="1:19" ht="21.95" customHeight="1">
      <c r="A717" s="6">
        <v>5714</v>
      </c>
      <c r="B717" s="2" t="s">
        <v>865</v>
      </c>
      <c r="C717" s="6">
        <v>714</v>
      </c>
      <c r="D717" s="7">
        <v>373971.30678752001</v>
      </c>
      <c r="E717" s="2" t="s">
        <v>152</v>
      </c>
      <c r="F717" s="6">
        <v>2002</v>
      </c>
      <c r="G717" s="6">
        <v>5</v>
      </c>
      <c r="H717" s="7">
        <v>30</v>
      </c>
      <c r="I717" s="6">
        <v>5</v>
      </c>
      <c r="J717" s="6">
        <v>2</v>
      </c>
      <c r="K717" s="6">
        <v>1</v>
      </c>
      <c r="L717" s="6">
        <v>15</v>
      </c>
      <c r="M717" s="6">
        <v>286954</v>
      </c>
      <c r="N717" s="6">
        <v>5739080</v>
      </c>
      <c r="O717" s="6">
        <v>76</v>
      </c>
      <c r="P717" s="7">
        <v>7532.7682400000003</v>
      </c>
      <c r="Q717" s="7">
        <v>31673.638599999998</v>
      </c>
      <c r="R717" s="9">
        <f>D717*VLOOKUP(1001,적!$A$4:$D$13,3,FALSE)</f>
        <v>747942.61357504001</v>
      </c>
      <c r="S717" s="9">
        <f>D717*VLOOKUP(F717,보스!$A$4:$E$5,4,FALSE)</f>
        <v>26925934.088701442</v>
      </c>
    </row>
    <row r="718" spans="1:19" ht="21.95" customHeight="1">
      <c r="A718" s="6">
        <v>5715</v>
      </c>
      <c r="B718" s="2" t="s">
        <v>866</v>
      </c>
      <c r="C718" s="6">
        <v>715</v>
      </c>
      <c r="D718" s="7">
        <v>375592.25874159997</v>
      </c>
      <c r="E718" s="2" t="s">
        <v>152</v>
      </c>
      <c r="F718" s="6">
        <v>2001</v>
      </c>
      <c r="G718" s="6">
        <v>5</v>
      </c>
      <c r="H718" s="7">
        <v>30</v>
      </c>
      <c r="I718" s="6">
        <v>5</v>
      </c>
      <c r="J718" s="6">
        <v>2</v>
      </c>
      <c r="K718" s="6">
        <v>1</v>
      </c>
      <c r="L718" s="6">
        <v>15</v>
      </c>
      <c r="M718" s="6">
        <v>287360</v>
      </c>
      <c r="N718" s="6">
        <v>5747200</v>
      </c>
      <c r="O718" s="6">
        <v>76</v>
      </c>
      <c r="P718" s="7">
        <v>7552.1282000000001</v>
      </c>
      <c r="Q718" s="7">
        <v>31755.040499999999</v>
      </c>
      <c r="R718" s="9">
        <f>D718*VLOOKUP(1001,적!$A$4:$D$13,3,FALSE)</f>
        <v>751184.51748319995</v>
      </c>
      <c r="S718" s="9">
        <f>D718*VLOOKUP(F718,보스!$A$4:$E$5,4,FALSE)</f>
        <v>27042642.629395198</v>
      </c>
    </row>
    <row r="719" spans="1:19" ht="21.95" customHeight="1">
      <c r="A719" s="6">
        <v>5716</v>
      </c>
      <c r="B719" s="2" t="s">
        <v>867</v>
      </c>
      <c r="C719" s="6">
        <v>716</v>
      </c>
      <c r="D719" s="7">
        <v>377218.67772600002</v>
      </c>
      <c r="E719" s="2" t="s">
        <v>152</v>
      </c>
      <c r="F719" s="6">
        <v>2002</v>
      </c>
      <c r="G719" s="6">
        <v>5</v>
      </c>
      <c r="H719" s="7">
        <v>30</v>
      </c>
      <c r="I719" s="6">
        <v>5</v>
      </c>
      <c r="J719" s="6">
        <v>2</v>
      </c>
      <c r="K719" s="6">
        <v>1</v>
      </c>
      <c r="L719" s="6">
        <v>15</v>
      </c>
      <c r="M719" s="6">
        <v>287766</v>
      </c>
      <c r="N719" s="6">
        <v>5755320</v>
      </c>
      <c r="O719" s="6">
        <v>76</v>
      </c>
      <c r="P719" s="7">
        <v>7571.5128000000004</v>
      </c>
      <c r="Q719" s="7">
        <v>31836.545999999998</v>
      </c>
      <c r="R719" s="9">
        <f>D719*VLOOKUP(1001,적!$A$4:$D$13,3,FALSE)</f>
        <v>754437.35545200005</v>
      </c>
      <c r="S719" s="9">
        <f>D719*VLOOKUP(F719,보스!$A$4:$E$5,4,FALSE)</f>
        <v>27159744.796272002</v>
      </c>
    </row>
    <row r="720" spans="1:19" ht="21.95" customHeight="1">
      <c r="A720" s="6">
        <v>5717</v>
      </c>
      <c r="B720" s="2" t="s">
        <v>868</v>
      </c>
      <c r="C720" s="6">
        <v>717</v>
      </c>
      <c r="D720" s="7">
        <v>378850.57688576001</v>
      </c>
      <c r="E720" s="2" t="s">
        <v>152</v>
      </c>
      <c r="F720" s="6">
        <v>2001</v>
      </c>
      <c r="G720" s="6">
        <v>5</v>
      </c>
      <c r="H720" s="7">
        <v>30</v>
      </c>
      <c r="I720" s="6">
        <v>5</v>
      </c>
      <c r="J720" s="6">
        <v>2</v>
      </c>
      <c r="K720" s="6">
        <v>1</v>
      </c>
      <c r="L720" s="6">
        <v>15</v>
      </c>
      <c r="M720" s="6">
        <v>288172</v>
      </c>
      <c r="N720" s="6">
        <v>5763440</v>
      </c>
      <c r="O720" s="6">
        <v>76</v>
      </c>
      <c r="P720" s="7">
        <v>7590.9220400000004</v>
      </c>
      <c r="Q720" s="7">
        <v>31918.1551</v>
      </c>
      <c r="R720" s="9">
        <f>D720*VLOOKUP(1001,적!$A$4:$D$13,3,FALSE)</f>
        <v>757701.15377152001</v>
      </c>
      <c r="S720" s="9">
        <f>D720*VLOOKUP(F720,보스!$A$4:$E$5,4,FALSE)</f>
        <v>27277241.535774719</v>
      </c>
    </row>
    <row r="721" spans="1:19" ht="21.95" customHeight="1">
      <c r="A721" s="6">
        <v>5718</v>
      </c>
      <c r="B721" s="2" t="s">
        <v>869</v>
      </c>
      <c r="C721" s="6">
        <v>718</v>
      </c>
      <c r="D721" s="7">
        <v>380487.96938319999</v>
      </c>
      <c r="E721" s="2" t="s">
        <v>152</v>
      </c>
      <c r="F721" s="6">
        <v>2002</v>
      </c>
      <c r="G721" s="6">
        <v>5</v>
      </c>
      <c r="H721" s="7">
        <v>30</v>
      </c>
      <c r="I721" s="6">
        <v>5</v>
      </c>
      <c r="J721" s="6">
        <v>2</v>
      </c>
      <c r="K721" s="6">
        <v>1</v>
      </c>
      <c r="L721" s="6">
        <v>15</v>
      </c>
      <c r="M721" s="6">
        <v>288578</v>
      </c>
      <c r="N721" s="6">
        <v>5771560</v>
      </c>
      <c r="O721" s="6">
        <v>76</v>
      </c>
      <c r="P721" s="7">
        <v>7610.35592</v>
      </c>
      <c r="Q721" s="7">
        <v>31999.8678</v>
      </c>
      <c r="R721" s="9">
        <f>D721*VLOOKUP(1001,적!$A$4:$D$13,3,FALSE)</f>
        <v>760975.93876639998</v>
      </c>
      <c r="S721" s="9">
        <f>D721*VLOOKUP(F721,보스!$A$4:$E$5,4,FALSE)</f>
        <v>27395133.795590401</v>
      </c>
    </row>
    <row r="722" spans="1:19" ht="21.95" customHeight="1">
      <c r="A722" s="6">
        <v>5719</v>
      </c>
      <c r="B722" s="2" t="s">
        <v>870</v>
      </c>
      <c r="C722" s="6">
        <v>719</v>
      </c>
      <c r="D722" s="7">
        <v>382130.86839791999</v>
      </c>
      <c r="E722" s="2" t="s">
        <v>152</v>
      </c>
      <c r="F722" s="6">
        <v>2001</v>
      </c>
      <c r="G722" s="6">
        <v>5</v>
      </c>
      <c r="H722" s="7">
        <v>30</v>
      </c>
      <c r="I722" s="6">
        <v>5</v>
      </c>
      <c r="J722" s="6">
        <v>2</v>
      </c>
      <c r="K722" s="6">
        <v>1</v>
      </c>
      <c r="L722" s="6">
        <v>15</v>
      </c>
      <c r="M722" s="6">
        <v>288984</v>
      </c>
      <c r="N722" s="6">
        <v>5779680</v>
      </c>
      <c r="O722" s="6">
        <v>76</v>
      </c>
      <c r="P722" s="7">
        <v>7629.8144400000001</v>
      </c>
      <c r="Q722" s="7">
        <v>32081.684099999999</v>
      </c>
      <c r="R722" s="9">
        <f>D722*VLOOKUP(1001,적!$A$4:$D$13,3,FALSE)</f>
        <v>764261.73679583997</v>
      </c>
      <c r="S722" s="9">
        <f>D722*VLOOKUP(F722,보스!$A$4:$E$5,4,FALSE)</f>
        <v>27513422.524650238</v>
      </c>
    </row>
    <row r="723" spans="1:19" ht="21.95" customHeight="1">
      <c r="A723" s="6">
        <v>5720</v>
      </c>
      <c r="B723" s="2" t="s">
        <v>871</v>
      </c>
      <c r="C723" s="6">
        <v>720</v>
      </c>
      <c r="D723" s="7">
        <v>383779.28712679999</v>
      </c>
      <c r="E723" s="2" t="s">
        <v>152</v>
      </c>
      <c r="F723" s="6">
        <v>2002</v>
      </c>
      <c r="G723" s="6">
        <v>5</v>
      </c>
      <c r="H723" s="7">
        <v>30</v>
      </c>
      <c r="I723" s="6">
        <v>5</v>
      </c>
      <c r="J723" s="6">
        <v>2</v>
      </c>
      <c r="K723" s="6">
        <v>1</v>
      </c>
      <c r="L723" s="6">
        <v>15</v>
      </c>
      <c r="M723" s="6">
        <v>289390</v>
      </c>
      <c r="N723" s="6">
        <v>5787800</v>
      </c>
      <c r="O723" s="6">
        <v>77</v>
      </c>
      <c r="P723" s="7">
        <v>7649.2975999999999</v>
      </c>
      <c r="Q723" s="7">
        <v>32163.603999999999</v>
      </c>
      <c r="R723" s="9">
        <f>D723*VLOOKUP(1001,적!$A$4:$D$13,3,FALSE)</f>
        <v>767558.57425359997</v>
      </c>
      <c r="S723" s="9">
        <f>D723*VLOOKUP(F723,보스!$A$4:$E$5,4,FALSE)</f>
        <v>27632108.6731296</v>
      </c>
    </row>
    <row r="724" spans="1:19" ht="21.95" customHeight="1">
      <c r="A724" s="6">
        <v>5721</v>
      </c>
      <c r="B724" s="2" t="s">
        <v>872</v>
      </c>
      <c r="C724" s="6">
        <v>721</v>
      </c>
      <c r="D724" s="7">
        <v>385433.23878399999</v>
      </c>
      <c r="E724" s="2" t="s">
        <v>152</v>
      </c>
      <c r="F724" s="6">
        <v>2001</v>
      </c>
      <c r="G724" s="6">
        <v>5</v>
      </c>
      <c r="H724" s="7">
        <v>30</v>
      </c>
      <c r="I724" s="6">
        <v>5</v>
      </c>
      <c r="J724" s="6">
        <v>2</v>
      </c>
      <c r="K724" s="6">
        <v>1</v>
      </c>
      <c r="L724" s="6">
        <v>15</v>
      </c>
      <c r="M724" s="6">
        <v>289796</v>
      </c>
      <c r="N724" s="6">
        <v>5795920</v>
      </c>
      <c r="O724" s="6">
        <v>77</v>
      </c>
      <c r="P724" s="7">
        <v>7668.8054000000002</v>
      </c>
      <c r="Q724" s="7">
        <v>32245.627499999999</v>
      </c>
      <c r="R724" s="9">
        <f>D724*VLOOKUP(1001,적!$A$4:$D$13,3,FALSE)</f>
        <v>770866.47756799997</v>
      </c>
      <c r="S724" s="9">
        <f>D724*VLOOKUP(F724,보스!$A$4:$E$5,4,FALSE)</f>
        <v>27751193.192447998</v>
      </c>
    </row>
    <row r="725" spans="1:19" ht="21.95" customHeight="1">
      <c r="A725" s="6">
        <v>5722</v>
      </c>
      <c r="B725" s="2" t="s">
        <v>873</v>
      </c>
      <c r="C725" s="6">
        <v>722</v>
      </c>
      <c r="D725" s="7">
        <v>387092.73660096002</v>
      </c>
      <c r="E725" s="2" t="s">
        <v>152</v>
      </c>
      <c r="F725" s="6">
        <v>2002</v>
      </c>
      <c r="G725" s="6">
        <v>5</v>
      </c>
      <c r="H725" s="7">
        <v>30</v>
      </c>
      <c r="I725" s="6">
        <v>5</v>
      </c>
      <c r="J725" s="6">
        <v>2</v>
      </c>
      <c r="K725" s="6">
        <v>1</v>
      </c>
      <c r="L725" s="6">
        <v>15</v>
      </c>
      <c r="M725" s="6">
        <v>290202</v>
      </c>
      <c r="N725" s="6">
        <v>5804040</v>
      </c>
      <c r="O725" s="6">
        <v>77</v>
      </c>
      <c r="P725" s="7">
        <v>7688.3378400000001</v>
      </c>
      <c r="Q725" s="7">
        <v>32327.7546</v>
      </c>
      <c r="R725" s="9">
        <f>D725*VLOOKUP(1001,적!$A$4:$D$13,3,FALSE)</f>
        <v>774185.47320192005</v>
      </c>
      <c r="S725" s="9">
        <f>D725*VLOOKUP(F725,보스!$A$4:$E$5,4,FALSE)</f>
        <v>27870677.035269123</v>
      </c>
    </row>
    <row r="726" spans="1:19" ht="21.95" customHeight="1">
      <c r="A726" s="6">
        <v>5723</v>
      </c>
      <c r="B726" s="2" t="s">
        <v>874</v>
      </c>
      <c r="C726" s="6">
        <v>723</v>
      </c>
      <c r="D726" s="7">
        <v>388757.79382640001</v>
      </c>
      <c r="E726" s="2" t="s">
        <v>152</v>
      </c>
      <c r="F726" s="6">
        <v>2001</v>
      </c>
      <c r="G726" s="6">
        <v>5</v>
      </c>
      <c r="H726" s="7">
        <v>30</v>
      </c>
      <c r="I726" s="6">
        <v>5</v>
      </c>
      <c r="J726" s="6">
        <v>2</v>
      </c>
      <c r="K726" s="6">
        <v>1</v>
      </c>
      <c r="L726" s="6">
        <v>15</v>
      </c>
      <c r="M726" s="6">
        <v>290608</v>
      </c>
      <c r="N726" s="6">
        <v>5812160</v>
      </c>
      <c r="O726" s="6">
        <v>77</v>
      </c>
      <c r="P726" s="7">
        <v>7707.8949199999997</v>
      </c>
      <c r="Q726" s="7">
        <v>32409.9853</v>
      </c>
      <c r="R726" s="9">
        <f>D726*VLOOKUP(1001,적!$A$4:$D$13,3,FALSE)</f>
        <v>777515.58765280002</v>
      </c>
      <c r="S726" s="9">
        <f>D726*VLOOKUP(F726,보스!$A$4:$E$5,4,FALSE)</f>
        <v>27990561.155500799</v>
      </c>
    </row>
    <row r="727" spans="1:19" ht="21.95" customHeight="1">
      <c r="A727" s="6">
        <v>5724</v>
      </c>
      <c r="B727" s="2" t="s">
        <v>875</v>
      </c>
      <c r="C727" s="6">
        <v>724</v>
      </c>
      <c r="D727" s="7">
        <v>390428.42372631998</v>
      </c>
      <c r="E727" s="2" t="s">
        <v>152</v>
      </c>
      <c r="F727" s="6">
        <v>2002</v>
      </c>
      <c r="G727" s="6">
        <v>5</v>
      </c>
      <c r="H727" s="7">
        <v>30</v>
      </c>
      <c r="I727" s="6">
        <v>5</v>
      </c>
      <c r="J727" s="6">
        <v>2</v>
      </c>
      <c r="K727" s="6">
        <v>1</v>
      </c>
      <c r="L727" s="6">
        <v>15</v>
      </c>
      <c r="M727" s="6">
        <v>291014</v>
      </c>
      <c r="N727" s="6">
        <v>5820280</v>
      </c>
      <c r="O727" s="6">
        <v>77</v>
      </c>
      <c r="P727" s="7">
        <v>7727.4766399999999</v>
      </c>
      <c r="Q727" s="7">
        <v>32492.319599999999</v>
      </c>
      <c r="R727" s="9">
        <f>D727*VLOOKUP(1001,적!$A$4:$D$13,3,FALSE)</f>
        <v>780856.84745263995</v>
      </c>
      <c r="S727" s="9">
        <f>D727*VLOOKUP(F727,보스!$A$4:$E$5,4,FALSE)</f>
        <v>28110846.508295037</v>
      </c>
    </row>
    <row r="728" spans="1:19" ht="21.95" customHeight="1">
      <c r="A728" s="6">
        <v>5725</v>
      </c>
      <c r="B728" s="2" t="s">
        <v>876</v>
      </c>
      <c r="C728" s="6">
        <v>725</v>
      </c>
      <c r="D728" s="7">
        <v>392104.63958399999</v>
      </c>
      <c r="E728" s="2" t="s">
        <v>152</v>
      </c>
      <c r="F728" s="6">
        <v>2001</v>
      </c>
      <c r="G728" s="6">
        <v>5</v>
      </c>
      <c r="H728" s="7">
        <v>30</v>
      </c>
      <c r="I728" s="6">
        <v>5</v>
      </c>
      <c r="J728" s="6">
        <v>2</v>
      </c>
      <c r="K728" s="6">
        <v>1</v>
      </c>
      <c r="L728" s="6">
        <v>15</v>
      </c>
      <c r="M728" s="6">
        <v>291420</v>
      </c>
      <c r="N728" s="6">
        <v>5828400</v>
      </c>
      <c r="O728" s="6">
        <v>77</v>
      </c>
      <c r="P728" s="7">
        <v>7747.0829999999996</v>
      </c>
      <c r="Q728" s="7">
        <v>32574.7575</v>
      </c>
      <c r="R728" s="9">
        <f>D728*VLOOKUP(1001,적!$A$4:$D$13,3,FALSE)</f>
        <v>784209.27916799998</v>
      </c>
      <c r="S728" s="9">
        <f>D728*VLOOKUP(F728,보스!$A$4:$E$5,4,FALSE)</f>
        <v>28231534.050048001</v>
      </c>
    </row>
    <row r="729" spans="1:19" ht="21.95" customHeight="1">
      <c r="A729" s="6">
        <v>5726</v>
      </c>
      <c r="B729" s="2" t="s">
        <v>877</v>
      </c>
      <c r="C729" s="6">
        <v>726</v>
      </c>
      <c r="D729" s="7">
        <v>393786.4547</v>
      </c>
      <c r="E729" s="2" t="s">
        <v>152</v>
      </c>
      <c r="F729" s="6">
        <v>2002</v>
      </c>
      <c r="G729" s="6">
        <v>5</v>
      </c>
      <c r="H729" s="7">
        <v>30</v>
      </c>
      <c r="I729" s="6">
        <v>5</v>
      </c>
      <c r="J729" s="6">
        <v>2</v>
      </c>
      <c r="K729" s="6">
        <v>1</v>
      </c>
      <c r="L729" s="6">
        <v>15</v>
      </c>
      <c r="M729" s="6">
        <v>291826</v>
      </c>
      <c r="N729" s="6">
        <v>5836520</v>
      </c>
      <c r="O729" s="6">
        <v>77</v>
      </c>
      <c r="P729" s="7">
        <v>7766.7139999999999</v>
      </c>
      <c r="Q729" s="7">
        <v>32657.298999999999</v>
      </c>
      <c r="R729" s="9">
        <f>D729*VLOOKUP(1001,적!$A$4:$D$13,3,FALSE)</f>
        <v>787572.9094</v>
      </c>
      <c r="S729" s="9">
        <f>D729*VLOOKUP(F729,보스!$A$4:$E$5,4,FALSE)</f>
        <v>28352624.738400001</v>
      </c>
    </row>
    <row r="730" spans="1:19" ht="21.95" customHeight="1">
      <c r="A730" s="6">
        <v>5727</v>
      </c>
      <c r="B730" s="2" t="s">
        <v>878</v>
      </c>
      <c r="C730" s="6">
        <v>727</v>
      </c>
      <c r="D730" s="7">
        <v>395473.88239216001</v>
      </c>
      <c r="E730" s="2" t="s">
        <v>152</v>
      </c>
      <c r="F730" s="6">
        <v>2001</v>
      </c>
      <c r="G730" s="6">
        <v>5</v>
      </c>
      <c r="H730" s="7">
        <v>30</v>
      </c>
      <c r="I730" s="6">
        <v>5</v>
      </c>
      <c r="J730" s="6">
        <v>2</v>
      </c>
      <c r="K730" s="6">
        <v>1</v>
      </c>
      <c r="L730" s="6">
        <v>15</v>
      </c>
      <c r="M730" s="6">
        <v>292232</v>
      </c>
      <c r="N730" s="6">
        <v>5844640</v>
      </c>
      <c r="O730" s="6">
        <v>77</v>
      </c>
      <c r="P730" s="7">
        <v>7786.3696399999999</v>
      </c>
      <c r="Q730" s="7">
        <v>32739.944100000001</v>
      </c>
      <c r="R730" s="9">
        <f>D730*VLOOKUP(1001,적!$A$4:$D$13,3,FALSE)</f>
        <v>790947.76478432002</v>
      </c>
      <c r="S730" s="9">
        <f>D730*VLOOKUP(F730,보스!$A$4:$E$5,4,FALSE)</f>
        <v>28474119.532235522</v>
      </c>
    </row>
    <row r="731" spans="1:19" ht="21.95" customHeight="1">
      <c r="A731" s="6">
        <v>5728</v>
      </c>
      <c r="B731" s="2" t="s">
        <v>879</v>
      </c>
      <c r="C731" s="6">
        <v>728</v>
      </c>
      <c r="D731" s="7">
        <v>397166.93599560001</v>
      </c>
      <c r="E731" s="2" t="s">
        <v>152</v>
      </c>
      <c r="F731" s="6">
        <v>2002</v>
      </c>
      <c r="G731" s="6">
        <v>5</v>
      </c>
      <c r="H731" s="7">
        <v>30</v>
      </c>
      <c r="I731" s="6">
        <v>5</v>
      </c>
      <c r="J731" s="6">
        <v>2</v>
      </c>
      <c r="K731" s="6">
        <v>1</v>
      </c>
      <c r="L731" s="6">
        <v>15</v>
      </c>
      <c r="M731" s="6">
        <v>292638</v>
      </c>
      <c r="N731" s="6">
        <v>5852760</v>
      </c>
      <c r="O731" s="6">
        <v>77</v>
      </c>
      <c r="P731" s="7">
        <v>7806.0499200000004</v>
      </c>
      <c r="Q731" s="7">
        <v>32822.692799999997</v>
      </c>
      <c r="R731" s="9">
        <f>D731*VLOOKUP(1001,적!$A$4:$D$13,3,FALSE)</f>
        <v>794333.87199120002</v>
      </c>
      <c r="S731" s="9">
        <f>D731*VLOOKUP(F731,보스!$A$4:$E$5,4,FALSE)</f>
        <v>28596019.391683202</v>
      </c>
    </row>
    <row r="732" spans="1:19" ht="21.95" customHeight="1">
      <c r="A732" s="6">
        <v>5729</v>
      </c>
      <c r="B732" s="2" t="s">
        <v>880</v>
      </c>
      <c r="C732" s="6">
        <v>729</v>
      </c>
      <c r="D732" s="7">
        <v>398865.62886271998</v>
      </c>
      <c r="E732" s="2" t="s">
        <v>152</v>
      </c>
      <c r="F732" s="6">
        <v>2001</v>
      </c>
      <c r="G732" s="6">
        <v>5</v>
      </c>
      <c r="H732" s="7">
        <v>30</v>
      </c>
      <c r="I732" s="6">
        <v>5</v>
      </c>
      <c r="J732" s="6">
        <v>2</v>
      </c>
      <c r="K732" s="6">
        <v>1</v>
      </c>
      <c r="L732" s="6">
        <v>15</v>
      </c>
      <c r="M732" s="6">
        <v>293044</v>
      </c>
      <c r="N732" s="6">
        <v>5860880</v>
      </c>
      <c r="O732" s="6">
        <v>77</v>
      </c>
      <c r="P732" s="7">
        <v>7825.7548399999996</v>
      </c>
      <c r="Q732" s="7">
        <v>32905.545100000003</v>
      </c>
      <c r="R732" s="9">
        <f>D732*VLOOKUP(1001,적!$A$4:$D$13,3,FALSE)</f>
        <v>797731.25772543997</v>
      </c>
      <c r="S732" s="9">
        <f>D732*VLOOKUP(F732,보스!$A$4:$E$5,4,FALSE)</f>
        <v>28718325.278115839</v>
      </c>
    </row>
    <row r="733" spans="1:19" ht="21.95" customHeight="1">
      <c r="A733" s="6">
        <v>5730</v>
      </c>
      <c r="B733" s="2" t="s">
        <v>881</v>
      </c>
      <c r="C733" s="6">
        <v>730</v>
      </c>
      <c r="D733" s="7">
        <v>400569.97436320002</v>
      </c>
      <c r="E733" s="2" t="s">
        <v>152</v>
      </c>
      <c r="F733" s="6">
        <v>2002</v>
      </c>
      <c r="G733" s="6">
        <v>5</v>
      </c>
      <c r="H733" s="7">
        <v>30</v>
      </c>
      <c r="I733" s="6">
        <v>5</v>
      </c>
      <c r="J733" s="6">
        <v>2</v>
      </c>
      <c r="K733" s="6">
        <v>1</v>
      </c>
      <c r="L733" s="6">
        <v>15</v>
      </c>
      <c r="M733" s="6">
        <v>293450</v>
      </c>
      <c r="N733" s="6">
        <v>5869000</v>
      </c>
      <c r="O733" s="6">
        <v>78</v>
      </c>
      <c r="P733" s="7">
        <v>7845.4844000000003</v>
      </c>
      <c r="Q733" s="7">
        <v>32988.500999999997</v>
      </c>
      <c r="R733" s="9">
        <f>D733*VLOOKUP(1001,적!$A$4:$D$13,3,FALSE)</f>
        <v>801139.94872640003</v>
      </c>
      <c r="S733" s="9">
        <f>D733*VLOOKUP(F733,보스!$A$4:$E$5,4,FALSE)</f>
        <v>28841038.1541504</v>
      </c>
    </row>
    <row r="734" spans="1:19" ht="21.95" customHeight="1">
      <c r="A734" s="6">
        <v>5731</v>
      </c>
      <c r="B734" s="2" t="s">
        <v>882</v>
      </c>
      <c r="C734" s="6">
        <v>731</v>
      </c>
      <c r="D734" s="7">
        <v>402279.98588400002</v>
      </c>
      <c r="E734" s="2" t="s">
        <v>152</v>
      </c>
      <c r="F734" s="6">
        <v>2001</v>
      </c>
      <c r="G734" s="6">
        <v>5</v>
      </c>
      <c r="H734" s="7">
        <v>30</v>
      </c>
      <c r="I734" s="6">
        <v>5</v>
      </c>
      <c r="J734" s="6">
        <v>2</v>
      </c>
      <c r="K734" s="6">
        <v>1</v>
      </c>
      <c r="L734" s="6">
        <v>15</v>
      </c>
      <c r="M734" s="6">
        <v>293856</v>
      </c>
      <c r="N734" s="6">
        <v>5877120</v>
      </c>
      <c r="O734" s="6">
        <v>78</v>
      </c>
      <c r="P734" s="7">
        <v>7865.2385999999997</v>
      </c>
      <c r="Q734" s="7">
        <v>33071.5605</v>
      </c>
      <c r="R734" s="9">
        <f>D734*VLOOKUP(1001,적!$A$4:$D$13,3,FALSE)</f>
        <v>804559.97176800005</v>
      </c>
      <c r="S734" s="9">
        <f>D734*VLOOKUP(F734,보스!$A$4:$E$5,4,FALSE)</f>
        <v>28964158.983648002</v>
      </c>
    </row>
    <row r="735" spans="1:19" ht="21.95" customHeight="1">
      <c r="A735" s="6">
        <v>5732</v>
      </c>
      <c r="B735" s="2" t="s">
        <v>883</v>
      </c>
      <c r="C735" s="6">
        <v>732</v>
      </c>
      <c r="D735" s="7">
        <v>403995.67682936002</v>
      </c>
      <c r="E735" s="2" t="s">
        <v>152</v>
      </c>
      <c r="F735" s="6">
        <v>2002</v>
      </c>
      <c r="G735" s="6">
        <v>5</v>
      </c>
      <c r="H735" s="7">
        <v>30</v>
      </c>
      <c r="I735" s="6">
        <v>5</v>
      </c>
      <c r="J735" s="6">
        <v>2</v>
      </c>
      <c r="K735" s="6">
        <v>1</v>
      </c>
      <c r="L735" s="6">
        <v>15</v>
      </c>
      <c r="M735" s="6">
        <v>294262</v>
      </c>
      <c r="N735" s="6">
        <v>5885240</v>
      </c>
      <c r="O735" s="6">
        <v>78</v>
      </c>
      <c r="P735" s="7">
        <v>7885.0174399999996</v>
      </c>
      <c r="Q735" s="7">
        <v>33154.723599999998</v>
      </c>
      <c r="R735" s="9">
        <f>D735*VLOOKUP(1001,적!$A$4:$D$13,3,FALSE)</f>
        <v>807991.35365872004</v>
      </c>
      <c r="S735" s="9">
        <f>D735*VLOOKUP(F735,보스!$A$4:$E$5,4,FALSE)</f>
        <v>29087688.731713921</v>
      </c>
    </row>
    <row r="736" spans="1:19" ht="21.95" customHeight="1">
      <c r="A736" s="6">
        <v>5733</v>
      </c>
      <c r="B736" s="2" t="s">
        <v>884</v>
      </c>
      <c r="C736" s="6">
        <v>733</v>
      </c>
      <c r="D736" s="7">
        <v>405717.06062080001</v>
      </c>
      <c r="E736" s="2" t="s">
        <v>152</v>
      </c>
      <c r="F736" s="6">
        <v>2001</v>
      </c>
      <c r="G736" s="6">
        <v>5</v>
      </c>
      <c r="H736" s="7">
        <v>30</v>
      </c>
      <c r="I736" s="6">
        <v>5</v>
      </c>
      <c r="J736" s="6">
        <v>2</v>
      </c>
      <c r="K736" s="6">
        <v>1</v>
      </c>
      <c r="L736" s="6">
        <v>15</v>
      </c>
      <c r="M736" s="6">
        <v>294668</v>
      </c>
      <c r="N736" s="6">
        <v>5893360</v>
      </c>
      <c r="O736" s="6">
        <v>78</v>
      </c>
      <c r="P736" s="7">
        <v>7904.8209200000001</v>
      </c>
      <c r="Q736" s="7">
        <v>33237.990299999998</v>
      </c>
      <c r="R736" s="9">
        <f>D736*VLOOKUP(1001,적!$A$4:$D$13,3,FALSE)</f>
        <v>811434.12124160002</v>
      </c>
      <c r="S736" s="9">
        <f>D736*VLOOKUP(F736,보스!$A$4:$E$5,4,FALSE)</f>
        <v>29211628.364697602</v>
      </c>
    </row>
    <row r="737" spans="1:19" ht="21.95" customHeight="1">
      <c r="A737" s="6">
        <v>5734</v>
      </c>
      <c r="B737" s="2" t="s">
        <v>885</v>
      </c>
      <c r="C737" s="6">
        <v>734</v>
      </c>
      <c r="D737" s="7">
        <v>407444.15069712</v>
      </c>
      <c r="E737" s="2" t="s">
        <v>152</v>
      </c>
      <c r="F737" s="6">
        <v>2002</v>
      </c>
      <c r="G737" s="6">
        <v>5</v>
      </c>
      <c r="H737" s="7">
        <v>30</v>
      </c>
      <c r="I737" s="6">
        <v>5</v>
      </c>
      <c r="J737" s="6">
        <v>2</v>
      </c>
      <c r="K737" s="6">
        <v>1</v>
      </c>
      <c r="L737" s="6">
        <v>15</v>
      </c>
      <c r="M737" s="6">
        <v>295074</v>
      </c>
      <c r="N737" s="6">
        <v>5901480</v>
      </c>
      <c r="O737" s="6">
        <v>78</v>
      </c>
      <c r="P737" s="7">
        <v>7924.6490400000002</v>
      </c>
      <c r="Q737" s="7">
        <v>33321.3606</v>
      </c>
      <c r="R737" s="9">
        <f>D737*VLOOKUP(1001,적!$A$4:$D$13,3,FALSE)</f>
        <v>814888.30139424</v>
      </c>
      <c r="S737" s="9">
        <f>D737*VLOOKUP(F737,보스!$A$4:$E$5,4,FALSE)</f>
        <v>29335978.85019264</v>
      </c>
    </row>
    <row r="738" spans="1:19" ht="21.95" customHeight="1">
      <c r="A738" s="6">
        <v>5735</v>
      </c>
      <c r="B738" s="2" t="s">
        <v>886</v>
      </c>
      <c r="C738" s="6">
        <v>735</v>
      </c>
      <c r="D738" s="7">
        <v>409176.96051439998</v>
      </c>
      <c r="E738" s="2" t="s">
        <v>152</v>
      </c>
      <c r="F738" s="6">
        <v>2001</v>
      </c>
      <c r="G738" s="6">
        <v>5</v>
      </c>
      <c r="H738" s="7">
        <v>30</v>
      </c>
      <c r="I738" s="6">
        <v>5</v>
      </c>
      <c r="J738" s="6">
        <v>2</v>
      </c>
      <c r="K738" s="6">
        <v>1</v>
      </c>
      <c r="L738" s="6">
        <v>15</v>
      </c>
      <c r="M738" s="6">
        <v>295480</v>
      </c>
      <c r="N738" s="6">
        <v>5909600</v>
      </c>
      <c r="O738" s="6">
        <v>78</v>
      </c>
      <c r="P738" s="7">
        <v>7944.5018</v>
      </c>
      <c r="Q738" s="7">
        <v>33404.834499999997</v>
      </c>
      <c r="R738" s="9">
        <f>D738*VLOOKUP(1001,적!$A$4:$D$13,3,FALSE)</f>
        <v>818353.92102879996</v>
      </c>
      <c r="S738" s="9">
        <f>D738*VLOOKUP(F738,보스!$A$4:$E$5,4,FALSE)</f>
        <v>29460741.1570368</v>
      </c>
    </row>
    <row r="739" spans="1:19" ht="21.95" customHeight="1">
      <c r="A739" s="6">
        <v>5736</v>
      </c>
      <c r="B739" s="2" t="s">
        <v>887</v>
      </c>
      <c r="C739" s="6">
        <v>736</v>
      </c>
      <c r="D739" s="7">
        <v>410915.50354599999</v>
      </c>
      <c r="E739" s="2" t="s">
        <v>152</v>
      </c>
      <c r="F739" s="6">
        <v>2002</v>
      </c>
      <c r="G739" s="6">
        <v>5</v>
      </c>
      <c r="H739" s="7">
        <v>30</v>
      </c>
      <c r="I739" s="6">
        <v>5</v>
      </c>
      <c r="J739" s="6">
        <v>2</v>
      </c>
      <c r="K739" s="6">
        <v>1</v>
      </c>
      <c r="L739" s="6">
        <v>15</v>
      </c>
      <c r="M739" s="6">
        <v>295886</v>
      </c>
      <c r="N739" s="6">
        <v>5917720</v>
      </c>
      <c r="O739" s="6">
        <v>78</v>
      </c>
      <c r="P739" s="7">
        <v>7964.3792000000003</v>
      </c>
      <c r="Q739" s="7">
        <v>33488.411999999997</v>
      </c>
      <c r="R739" s="9">
        <f>D739*VLOOKUP(1001,적!$A$4:$D$13,3,FALSE)</f>
        <v>821831.00709199999</v>
      </c>
      <c r="S739" s="9">
        <f>D739*VLOOKUP(F739,보스!$A$4:$E$5,4,FALSE)</f>
        <v>29585916.255311999</v>
      </c>
    </row>
    <row r="740" spans="1:19" ht="21.95" customHeight="1">
      <c r="A740" s="6">
        <v>5737</v>
      </c>
      <c r="B740" s="2" t="s">
        <v>888</v>
      </c>
      <c r="C740" s="6">
        <v>737</v>
      </c>
      <c r="D740" s="7">
        <v>412659.79328256001</v>
      </c>
      <c r="E740" s="2" t="s">
        <v>152</v>
      </c>
      <c r="F740" s="6">
        <v>2001</v>
      </c>
      <c r="G740" s="6">
        <v>5</v>
      </c>
      <c r="H740" s="7">
        <v>30</v>
      </c>
      <c r="I740" s="6">
        <v>5</v>
      </c>
      <c r="J740" s="6">
        <v>2</v>
      </c>
      <c r="K740" s="6">
        <v>1</v>
      </c>
      <c r="L740" s="6">
        <v>15</v>
      </c>
      <c r="M740" s="6">
        <v>296292</v>
      </c>
      <c r="N740" s="6">
        <v>5925840</v>
      </c>
      <c r="O740" s="6">
        <v>78</v>
      </c>
      <c r="P740" s="7">
        <v>7984.2812400000003</v>
      </c>
      <c r="Q740" s="7">
        <v>33572.093099999998</v>
      </c>
      <c r="R740" s="9">
        <f>D740*VLOOKUP(1001,적!$A$4:$D$13,3,FALSE)</f>
        <v>825319.58656512003</v>
      </c>
      <c r="S740" s="9">
        <f>D740*VLOOKUP(F740,보스!$A$4:$E$5,4,FALSE)</f>
        <v>29711505.116344322</v>
      </c>
    </row>
    <row r="741" spans="1:19" ht="21.95" customHeight="1">
      <c r="A741" s="6">
        <v>5738</v>
      </c>
      <c r="B741" s="2" t="s">
        <v>889</v>
      </c>
      <c r="C741" s="6">
        <v>738</v>
      </c>
      <c r="D741" s="7">
        <v>414409.84323200001</v>
      </c>
      <c r="E741" s="2" t="s">
        <v>152</v>
      </c>
      <c r="F741" s="6">
        <v>2002</v>
      </c>
      <c r="G741" s="6">
        <v>5</v>
      </c>
      <c r="H741" s="7">
        <v>30</v>
      </c>
      <c r="I741" s="6">
        <v>5</v>
      </c>
      <c r="J741" s="6">
        <v>2</v>
      </c>
      <c r="K741" s="6">
        <v>1</v>
      </c>
      <c r="L741" s="6">
        <v>15</v>
      </c>
      <c r="M741" s="6">
        <v>296698</v>
      </c>
      <c r="N741" s="6">
        <v>5933960</v>
      </c>
      <c r="O741" s="6">
        <v>78</v>
      </c>
      <c r="P741" s="7">
        <v>8004.2079199999998</v>
      </c>
      <c r="Q741" s="7">
        <v>33655.877800000002</v>
      </c>
      <c r="R741" s="9">
        <f>D741*VLOOKUP(1001,적!$A$4:$D$13,3,FALSE)</f>
        <v>828819.68646400003</v>
      </c>
      <c r="S741" s="9">
        <f>D741*VLOOKUP(F741,보스!$A$4:$E$5,4,FALSE)</f>
        <v>29837508.712704003</v>
      </c>
    </row>
    <row r="742" spans="1:19" ht="21.95" customHeight="1">
      <c r="A742" s="6">
        <v>5739</v>
      </c>
      <c r="B742" s="2" t="s">
        <v>890</v>
      </c>
      <c r="C742" s="6">
        <v>739</v>
      </c>
      <c r="D742" s="7">
        <v>416165.66691952001</v>
      </c>
      <c r="E742" s="2" t="s">
        <v>152</v>
      </c>
      <c r="F742" s="6">
        <v>2001</v>
      </c>
      <c r="G742" s="6">
        <v>5</v>
      </c>
      <c r="H742" s="7">
        <v>30</v>
      </c>
      <c r="I742" s="6">
        <v>5</v>
      </c>
      <c r="J742" s="6">
        <v>2</v>
      </c>
      <c r="K742" s="6">
        <v>1</v>
      </c>
      <c r="L742" s="6">
        <v>15</v>
      </c>
      <c r="M742" s="6">
        <v>297104</v>
      </c>
      <c r="N742" s="6">
        <v>5942080</v>
      </c>
      <c r="O742" s="6">
        <v>78</v>
      </c>
      <c r="P742" s="7">
        <v>8024.15924</v>
      </c>
      <c r="Q742" s="7">
        <v>33739.766100000001</v>
      </c>
      <c r="R742" s="9">
        <f>D742*VLOOKUP(1001,적!$A$4:$D$13,3,FALSE)</f>
        <v>832331.33383904002</v>
      </c>
      <c r="S742" s="9">
        <f>D742*VLOOKUP(F742,보스!$A$4:$E$5,4,FALSE)</f>
        <v>29963928.018205442</v>
      </c>
    </row>
    <row r="743" spans="1:19" ht="21.95" customHeight="1">
      <c r="A743" s="6">
        <v>5740</v>
      </c>
      <c r="B743" s="2" t="s">
        <v>891</v>
      </c>
      <c r="C743" s="6">
        <v>740</v>
      </c>
      <c r="D743" s="7">
        <v>417927.27788760001</v>
      </c>
      <c r="E743" s="2" t="s">
        <v>152</v>
      </c>
      <c r="F743" s="6">
        <v>2002</v>
      </c>
      <c r="G743" s="6">
        <v>5</v>
      </c>
      <c r="H743" s="7">
        <v>30</v>
      </c>
      <c r="I743" s="6">
        <v>5</v>
      </c>
      <c r="J743" s="6">
        <v>2</v>
      </c>
      <c r="K743" s="6">
        <v>1</v>
      </c>
      <c r="L743" s="6">
        <v>15</v>
      </c>
      <c r="M743" s="6">
        <v>297510</v>
      </c>
      <c r="N743" s="6">
        <v>5950200</v>
      </c>
      <c r="O743" s="6">
        <v>79</v>
      </c>
      <c r="P743" s="7">
        <v>8044.1351999999997</v>
      </c>
      <c r="Q743" s="7">
        <v>33823.758000000002</v>
      </c>
      <c r="R743" s="9">
        <f>D743*VLOOKUP(1001,적!$A$4:$D$13,3,FALSE)</f>
        <v>835854.55577520002</v>
      </c>
      <c r="S743" s="9">
        <f>D743*VLOOKUP(F743,보스!$A$4:$E$5,4,FALSE)</f>
        <v>30090764.007907201</v>
      </c>
    </row>
    <row r="744" spans="1:19" ht="21.95" customHeight="1">
      <c r="A744" s="6">
        <v>5741</v>
      </c>
      <c r="B744" s="2" t="s">
        <v>892</v>
      </c>
      <c r="C744" s="6">
        <v>741</v>
      </c>
      <c r="D744" s="7">
        <v>419694.68969600002</v>
      </c>
      <c r="E744" s="2" t="s">
        <v>152</v>
      </c>
      <c r="F744" s="6">
        <v>2001</v>
      </c>
      <c r="G744" s="6">
        <v>5</v>
      </c>
      <c r="H744" s="7">
        <v>30</v>
      </c>
      <c r="I744" s="6">
        <v>5</v>
      </c>
      <c r="J744" s="6">
        <v>2</v>
      </c>
      <c r="K744" s="6">
        <v>1</v>
      </c>
      <c r="L744" s="6">
        <v>15</v>
      </c>
      <c r="M744" s="6">
        <v>297917</v>
      </c>
      <c r="N744" s="6">
        <v>5958340</v>
      </c>
      <c r="O744" s="6">
        <v>79</v>
      </c>
      <c r="P744" s="7">
        <v>8064.1358</v>
      </c>
      <c r="Q744" s="7">
        <v>33907.853499999997</v>
      </c>
      <c r="R744" s="9">
        <f>D744*VLOOKUP(1001,적!$A$4:$D$13,3,FALSE)</f>
        <v>839389.37939200003</v>
      </c>
      <c r="S744" s="9">
        <f>D744*VLOOKUP(F744,보스!$A$4:$E$5,4,FALSE)</f>
        <v>30218017.658112001</v>
      </c>
    </row>
    <row r="745" spans="1:19" ht="21.95" customHeight="1">
      <c r="A745" s="6">
        <v>5742</v>
      </c>
      <c r="B745" s="2" t="s">
        <v>893</v>
      </c>
      <c r="C745" s="6">
        <v>742</v>
      </c>
      <c r="D745" s="7">
        <v>421467.91592176002</v>
      </c>
      <c r="E745" s="2" t="s">
        <v>152</v>
      </c>
      <c r="F745" s="6">
        <v>2002</v>
      </c>
      <c r="G745" s="6">
        <v>5</v>
      </c>
      <c r="H745" s="7">
        <v>30</v>
      </c>
      <c r="I745" s="6">
        <v>5</v>
      </c>
      <c r="J745" s="6">
        <v>2</v>
      </c>
      <c r="K745" s="6">
        <v>1</v>
      </c>
      <c r="L745" s="6">
        <v>15</v>
      </c>
      <c r="M745" s="6">
        <v>298323</v>
      </c>
      <c r="N745" s="6">
        <v>5966460</v>
      </c>
      <c r="O745" s="6">
        <v>79</v>
      </c>
      <c r="P745" s="7">
        <v>8084.16104</v>
      </c>
      <c r="Q745" s="7">
        <v>33992.052600000003</v>
      </c>
      <c r="R745" s="9">
        <f>D745*VLOOKUP(1001,적!$A$4:$D$13,3,FALSE)</f>
        <v>842935.83184352005</v>
      </c>
      <c r="S745" s="9">
        <f>D745*VLOOKUP(F745,보스!$A$4:$E$5,4,FALSE)</f>
        <v>30345689.94636672</v>
      </c>
    </row>
    <row r="746" spans="1:19" ht="21.95" customHeight="1">
      <c r="A746" s="6">
        <v>5743</v>
      </c>
      <c r="B746" s="2" t="s">
        <v>894</v>
      </c>
      <c r="C746" s="6">
        <v>743</v>
      </c>
      <c r="D746" s="7">
        <v>423246.97015920002</v>
      </c>
      <c r="E746" s="2" t="s">
        <v>152</v>
      </c>
      <c r="F746" s="6">
        <v>2001</v>
      </c>
      <c r="G746" s="6">
        <v>5</v>
      </c>
      <c r="H746" s="7">
        <v>30</v>
      </c>
      <c r="I746" s="6">
        <v>5</v>
      </c>
      <c r="J746" s="6">
        <v>2</v>
      </c>
      <c r="K746" s="6">
        <v>1</v>
      </c>
      <c r="L746" s="6">
        <v>15</v>
      </c>
      <c r="M746" s="6">
        <v>298729</v>
      </c>
      <c r="N746" s="6">
        <v>5974580</v>
      </c>
      <c r="O746" s="6">
        <v>79</v>
      </c>
      <c r="P746" s="7">
        <v>8104.2109200000004</v>
      </c>
      <c r="Q746" s="7">
        <v>34076.355300000003</v>
      </c>
      <c r="R746" s="9">
        <f>D746*VLOOKUP(1001,적!$A$4:$D$13,3,FALSE)</f>
        <v>846493.94031840004</v>
      </c>
      <c r="S746" s="9">
        <f>D746*VLOOKUP(F746,보스!$A$4:$E$5,4,FALSE)</f>
        <v>30473781.851462401</v>
      </c>
    </row>
    <row r="747" spans="1:19" ht="21.95" customHeight="1">
      <c r="A747" s="6">
        <v>5744</v>
      </c>
      <c r="B747" s="2" t="s">
        <v>895</v>
      </c>
      <c r="C747" s="6">
        <v>744</v>
      </c>
      <c r="D747" s="7">
        <v>425031.86601991998</v>
      </c>
      <c r="E747" s="2" t="s">
        <v>152</v>
      </c>
      <c r="F747" s="6">
        <v>2002</v>
      </c>
      <c r="G747" s="6">
        <v>5</v>
      </c>
      <c r="H747" s="7">
        <v>30</v>
      </c>
      <c r="I747" s="6">
        <v>5</v>
      </c>
      <c r="J747" s="6">
        <v>2</v>
      </c>
      <c r="K747" s="6">
        <v>1</v>
      </c>
      <c r="L747" s="6">
        <v>15</v>
      </c>
      <c r="M747" s="6">
        <v>299135</v>
      </c>
      <c r="N747" s="6">
        <v>5982700</v>
      </c>
      <c r="O747" s="6">
        <v>79</v>
      </c>
      <c r="P747" s="7">
        <v>8124.2854399999997</v>
      </c>
      <c r="Q747" s="7">
        <v>34160.761599999998</v>
      </c>
      <c r="R747" s="9">
        <f>D747*VLOOKUP(1001,적!$A$4:$D$13,3,FALSE)</f>
        <v>850063.73203983996</v>
      </c>
      <c r="S747" s="9">
        <f>D747*VLOOKUP(F747,보스!$A$4:$E$5,4,FALSE)</f>
        <v>30602294.353434239</v>
      </c>
    </row>
    <row r="748" spans="1:19" ht="21.95" customHeight="1">
      <c r="A748" s="6">
        <v>5745</v>
      </c>
      <c r="B748" s="2" t="s">
        <v>896</v>
      </c>
      <c r="C748" s="6">
        <v>745</v>
      </c>
      <c r="D748" s="7">
        <v>426822.61713279999</v>
      </c>
      <c r="E748" s="2" t="s">
        <v>152</v>
      </c>
      <c r="F748" s="6">
        <v>2001</v>
      </c>
      <c r="G748" s="6">
        <v>5</v>
      </c>
      <c r="H748" s="7">
        <v>30</v>
      </c>
      <c r="I748" s="6">
        <v>5</v>
      </c>
      <c r="J748" s="6">
        <v>2</v>
      </c>
      <c r="K748" s="6">
        <v>1</v>
      </c>
      <c r="L748" s="6">
        <v>15</v>
      </c>
      <c r="M748" s="6">
        <v>299541</v>
      </c>
      <c r="N748" s="6">
        <v>5990820</v>
      </c>
      <c r="O748" s="6">
        <v>79</v>
      </c>
      <c r="P748" s="7">
        <v>8144.3846000000003</v>
      </c>
      <c r="Q748" s="7">
        <v>34245.271500000003</v>
      </c>
      <c r="R748" s="9">
        <f>D748*VLOOKUP(1001,적!$A$4:$D$13,3,FALSE)</f>
        <v>853645.23426559998</v>
      </c>
      <c r="S748" s="9">
        <f>D748*VLOOKUP(F748,보스!$A$4:$E$5,4,FALSE)</f>
        <v>30731228.433561601</v>
      </c>
    </row>
    <row r="749" spans="1:19" ht="21.95" customHeight="1">
      <c r="A749" s="6">
        <v>5746</v>
      </c>
      <c r="B749" s="2" t="s">
        <v>897</v>
      </c>
      <c r="C749" s="6">
        <v>746</v>
      </c>
      <c r="D749" s="7">
        <v>428619.23714400001</v>
      </c>
      <c r="E749" s="2" t="s">
        <v>152</v>
      </c>
      <c r="F749" s="6">
        <v>2002</v>
      </c>
      <c r="G749" s="6">
        <v>5</v>
      </c>
      <c r="H749" s="7">
        <v>30</v>
      </c>
      <c r="I749" s="6">
        <v>5</v>
      </c>
      <c r="J749" s="6">
        <v>2</v>
      </c>
      <c r="K749" s="6">
        <v>1</v>
      </c>
      <c r="L749" s="6">
        <v>15</v>
      </c>
      <c r="M749" s="6">
        <v>299947</v>
      </c>
      <c r="N749" s="6">
        <v>5998940</v>
      </c>
      <c r="O749" s="6">
        <v>79</v>
      </c>
      <c r="P749" s="7">
        <v>8164.5083999999997</v>
      </c>
      <c r="Q749" s="7">
        <v>34329.885000000002</v>
      </c>
      <c r="R749" s="9">
        <f>D749*VLOOKUP(1001,적!$A$4:$D$13,3,FALSE)</f>
        <v>857238.47428800003</v>
      </c>
      <c r="S749" s="9">
        <f>D749*VLOOKUP(F749,보스!$A$4:$E$5,4,FALSE)</f>
        <v>30860585.074368</v>
      </c>
    </row>
    <row r="750" spans="1:19" ht="21.95" customHeight="1">
      <c r="A750" s="6">
        <v>5747</v>
      </c>
      <c r="B750" s="2" t="s">
        <v>898</v>
      </c>
      <c r="C750" s="6">
        <v>747</v>
      </c>
      <c r="D750" s="7">
        <v>430421.73971696</v>
      </c>
      <c r="E750" s="2" t="s">
        <v>152</v>
      </c>
      <c r="F750" s="6">
        <v>2001</v>
      </c>
      <c r="G750" s="6">
        <v>5</v>
      </c>
      <c r="H750" s="7">
        <v>30</v>
      </c>
      <c r="I750" s="6">
        <v>5</v>
      </c>
      <c r="J750" s="6">
        <v>2</v>
      </c>
      <c r="K750" s="6">
        <v>1</v>
      </c>
      <c r="L750" s="6">
        <v>15</v>
      </c>
      <c r="M750" s="6">
        <v>300353</v>
      </c>
      <c r="N750" s="6">
        <v>6007060</v>
      </c>
      <c r="O750" s="6">
        <v>79</v>
      </c>
      <c r="P750" s="7">
        <v>8184.6568399999996</v>
      </c>
      <c r="Q750" s="7">
        <v>34414.602099999996</v>
      </c>
      <c r="R750" s="9">
        <f>D750*VLOOKUP(1001,적!$A$4:$D$13,3,FALSE)</f>
        <v>860843.47943392</v>
      </c>
      <c r="S750" s="9">
        <f>D750*VLOOKUP(F750,보스!$A$4:$E$5,4,FALSE)</f>
        <v>30990365.259621121</v>
      </c>
    </row>
    <row r="751" spans="1:19" ht="21.95" customHeight="1">
      <c r="A751" s="6">
        <v>5748</v>
      </c>
      <c r="B751" s="2" t="s">
        <v>899</v>
      </c>
      <c r="C751" s="6">
        <v>748</v>
      </c>
      <c r="D751" s="7">
        <v>432230.13853240001</v>
      </c>
      <c r="E751" s="2" t="s">
        <v>152</v>
      </c>
      <c r="F751" s="6">
        <v>2002</v>
      </c>
      <c r="G751" s="6">
        <v>5</v>
      </c>
      <c r="H751" s="7">
        <v>30</v>
      </c>
      <c r="I751" s="6">
        <v>5</v>
      </c>
      <c r="J751" s="6">
        <v>2</v>
      </c>
      <c r="K751" s="6">
        <v>1</v>
      </c>
      <c r="L751" s="6">
        <v>15</v>
      </c>
      <c r="M751" s="6">
        <v>300759</v>
      </c>
      <c r="N751" s="6">
        <v>6015180</v>
      </c>
      <c r="O751" s="6">
        <v>79</v>
      </c>
      <c r="P751" s="7">
        <v>8204.8299200000001</v>
      </c>
      <c r="Q751" s="7">
        <v>34499.4228</v>
      </c>
      <c r="R751" s="9">
        <f>D751*VLOOKUP(1001,적!$A$4:$D$13,3,FALSE)</f>
        <v>864460.27706480003</v>
      </c>
      <c r="S751" s="9">
        <f>D751*VLOOKUP(F751,보스!$A$4:$E$5,4,FALSE)</f>
        <v>31120569.974332802</v>
      </c>
    </row>
    <row r="752" spans="1:19" ht="21.95" customHeight="1">
      <c r="A752" s="6">
        <v>5749</v>
      </c>
      <c r="B752" s="2" t="s">
        <v>900</v>
      </c>
      <c r="C752" s="6">
        <v>749</v>
      </c>
      <c r="D752" s="7">
        <v>434044.44728831999</v>
      </c>
      <c r="E752" s="2" t="s">
        <v>152</v>
      </c>
      <c r="F752" s="6">
        <v>2001</v>
      </c>
      <c r="G752" s="6">
        <v>5</v>
      </c>
      <c r="H752" s="7">
        <v>30</v>
      </c>
      <c r="I752" s="6">
        <v>5</v>
      </c>
      <c r="J752" s="6">
        <v>2</v>
      </c>
      <c r="K752" s="6">
        <v>1</v>
      </c>
      <c r="L752" s="6">
        <v>15</v>
      </c>
      <c r="M752" s="6">
        <v>301165</v>
      </c>
      <c r="N752" s="6">
        <v>6023300</v>
      </c>
      <c r="O752" s="6">
        <v>79</v>
      </c>
      <c r="P752" s="7">
        <v>8225.0276400000002</v>
      </c>
      <c r="Q752" s="7">
        <v>34584.347099999999</v>
      </c>
      <c r="R752" s="9">
        <f>D752*VLOOKUP(1001,적!$A$4:$D$13,3,FALSE)</f>
        <v>868088.89457663998</v>
      </c>
      <c r="S752" s="9">
        <f>D752*VLOOKUP(F752,보스!$A$4:$E$5,4,FALSE)</f>
        <v>31251200.204759039</v>
      </c>
    </row>
    <row r="753" spans="1:19" ht="21.95" customHeight="1">
      <c r="A753" s="6">
        <v>5750</v>
      </c>
      <c r="B753" s="2" t="s">
        <v>901</v>
      </c>
      <c r="C753" s="6">
        <v>750</v>
      </c>
      <c r="D753" s="7">
        <v>435864.67969999998</v>
      </c>
      <c r="E753" s="2" t="s">
        <v>152</v>
      </c>
      <c r="F753" s="6">
        <v>2002</v>
      </c>
      <c r="G753" s="6">
        <v>5</v>
      </c>
      <c r="H753" s="7">
        <v>30</v>
      </c>
      <c r="I753" s="6">
        <v>5</v>
      </c>
      <c r="J753" s="6">
        <v>2</v>
      </c>
      <c r="K753" s="6">
        <v>1</v>
      </c>
      <c r="L753" s="6">
        <v>15</v>
      </c>
      <c r="M753" s="6">
        <v>301571</v>
      </c>
      <c r="N753" s="6">
        <v>6031420</v>
      </c>
      <c r="O753" s="6">
        <v>80</v>
      </c>
      <c r="P753" s="7">
        <v>8245.25</v>
      </c>
      <c r="Q753" s="7">
        <v>34669.375</v>
      </c>
      <c r="R753" s="9">
        <f>D753*VLOOKUP(1001,적!$A$4:$D$13,3,FALSE)</f>
        <v>871729.35939999996</v>
      </c>
      <c r="S753" s="9">
        <f>D753*VLOOKUP(F753,보스!$A$4:$E$5,4,FALSE)</f>
        <v>31382256.9384</v>
      </c>
    </row>
    <row r="754" spans="1:19" ht="21.95" customHeight="1">
      <c r="A754" s="6">
        <v>5751</v>
      </c>
      <c r="B754" s="2" t="s">
        <v>902</v>
      </c>
      <c r="C754" s="6">
        <v>751</v>
      </c>
      <c r="D754" s="7">
        <v>437690.84950000001</v>
      </c>
      <c r="E754" s="2" t="s">
        <v>152</v>
      </c>
      <c r="F754" s="6">
        <v>2001</v>
      </c>
      <c r="G754" s="6">
        <v>5</v>
      </c>
      <c r="H754" s="7">
        <v>30</v>
      </c>
      <c r="I754" s="6">
        <v>5</v>
      </c>
      <c r="J754" s="6">
        <v>2</v>
      </c>
      <c r="K754" s="6">
        <v>1</v>
      </c>
      <c r="L754" s="6">
        <v>15</v>
      </c>
      <c r="M754" s="6">
        <v>301977</v>
      </c>
      <c r="N754" s="6">
        <v>6039540</v>
      </c>
      <c r="O754" s="6">
        <v>80</v>
      </c>
      <c r="P754" s="7">
        <v>8265.4969999999994</v>
      </c>
      <c r="Q754" s="7">
        <v>34754.506500000003</v>
      </c>
      <c r="R754" s="9">
        <f>D754*VLOOKUP(1001,적!$A$4:$D$13,3,FALSE)</f>
        <v>875381.69900000002</v>
      </c>
      <c r="S754" s="9">
        <f>D754*VLOOKUP(F754,보스!$A$4:$E$5,4,FALSE)</f>
        <v>31513741.164000001</v>
      </c>
    </row>
    <row r="755" spans="1:19" ht="21.95" customHeight="1">
      <c r="A755" s="6">
        <v>5752</v>
      </c>
      <c r="B755" s="2" t="s">
        <v>903</v>
      </c>
      <c r="C755" s="6">
        <v>752</v>
      </c>
      <c r="D755" s="7">
        <v>439522.97043816</v>
      </c>
      <c r="E755" s="2" t="s">
        <v>152</v>
      </c>
      <c r="F755" s="6">
        <v>2002</v>
      </c>
      <c r="G755" s="6">
        <v>5</v>
      </c>
      <c r="H755" s="7">
        <v>30</v>
      </c>
      <c r="I755" s="6">
        <v>5</v>
      </c>
      <c r="J755" s="6">
        <v>2</v>
      </c>
      <c r="K755" s="6">
        <v>1</v>
      </c>
      <c r="L755" s="6">
        <v>15</v>
      </c>
      <c r="M755" s="6">
        <v>302383</v>
      </c>
      <c r="N755" s="6">
        <v>6047660</v>
      </c>
      <c r="O755" s="6">
        <v>80</v>
      </c>
      <c r="P755" s="7">
        <v>8285.7686400000002</v>
      </c>
      <c r="Q755" s="7">
        <v>34839.741600000001</v>
      </c>
      <c r="R755" s="9">
        <f>D755*VLOOKUP(1001,적!$A$4:$D$13,3,FALSE)</f>
        <v>879045.94087632</v>
      </c>
      <c r="S755" s="9">
        <f>D755*VLOOKUP(F755,보스!$A$4:$E$5,4,FALSE)</f>
        <v>31645653.87154752</v>
      </c>
    </row>
    <row r="756" spans="1:19" ht="21.95" customHeight="1">
      <c r="A756" s="6">
        <v>5753</v>
      </c>
      <c r="B756" s="2" t="s">
        <v>904</v>
      </c>
      <c r="C756" s="6">
        <v>753</v>
      </c>
      <c r="D756" s="7">
        <v>441361.05628159997</v>
      </c>
      <c r="E756" s="2" t="s">
        <v>152</v>
      </c>
      <c r="F756" s="6">
        <v>2001</v>
      </c>
      <c r="G756" s="6">
        <v>5</v>
      </c>
      <c r="H756" s="7">
        <v>30</v>
      </c>
      <c r="I756" s="6">
        <v>5</v>
      </c>
      <c r="J756" s="6">
        <v>2</v>
      </c>
      <c r="K756" s="6">
        <v>1</v>
      </c>
      <c r="L756" s="6">
        <v>15</v>
      </c>
      <c r="M756" s="6">
        <v>302789</v>
      </c>
      <c r="N756" s="6">
        <v>6055780</v>
      </c>
      <c r="O756" s="6">
        <v>80</v>
      </c>
      <c r="P756" s="7">
        <v>8306.0649200000007</v>
      </c>
      <c r="Q756" s="7">
        <v>34925.080300000001</v>
      </c>
      <c r="R756" s="9">
        <f>D756*VLOOKUP(1001,적!$A$4:$D$13,3,FALSE)</f>
        <v>882722.11256319995</v>
      </c>
      <c r="S756" s="9">
        <f>D756*VLOOKUP(F756,보스!$A$4:$E$5,4,FALSE)</f>
        <v>31777996.052275199</v>
      </c>
    </row>
    <row r="757" spans="1:19" ht="21.95" customHeight="1">
      <c r="A757" s="6">
        <v>5754</v>
      </c>
      <c r="B757" s="2" t="s">
        <v>905</v>
      </c>
      <c r="C757" s="6">
        <v>754</v>
      </c>
      <c r="D757" s="7">
        <v>443205.12081471999</v>
      </c>
      <c r="E757" s="2" t="s">
        <v>152</v>
      </c>
      <c r="F757" s="6">
        <v>2002</v>
      </c>
      <c r="G757" s="6">
        <v>5</v>
      </c>
      <c r="H757" s="7">
        <v>30</v>
      </c>
      <c r="I757" s="6">
        <v>5</v>
      </c>
      <c r="J757" s="6">
        <v>2</v>
      </c>
      <c r="K757" s="6">
        <v>1</v>
      </c>
      <c r="L757" s="6">
        <v>15</v>
      </c>
      <c r="M757" s="6">
        <v>303195</v>
      </c>
      <c r="N757" s="6">
        <v>6063900</v>
      </c>
      <c r="O757" s="6">
        <v>80</v>
      </c>
      <c r="P757" s="7">
        <v>8326.3858400000008</v>
      </c>
      <c r="Q757" s="7">
        <v>35010.522599999997</v>
      </c>
      <c r="R757" s="9">
        <f>D757*VLOOKUP(1001,적!$A$4:$D$13,3,FALSE)</f>
        <v>886410.24162943999</v>
      </c>
      <c r="S757" s="9">
        <f>D757*VLOOKUP(F757,보스!$A$4:$E$5,4,FALSE)</f>
        <v>31910768.698659841</v>
      </c>
    </row>
    <row r="758" spans="1:19" ht="21.95" customHeight="1">
      <c r="A758" s="6">
        <v>5755</v>
      </c>
      <c r="B758" s="2" t="s">
        <v>906</v>
      </c>
      <c r="C758" s="6">
        <v>755</v>
      </c>
      <c r="D758" s="7">
        <v>445055.17783920001</v>
      </c>
      <c r="E758" s="2" t="s">
        <v>152</v>
      </c>
      <c r="F758" s="6">
        <v>2001</v>
      </c>
      <c r="G758" s="6">
        <v>5</v>
      </c>
      <c r="H758" s="7">
        <v>30</v>
      </c>
      <c r="I758" s="6">
        <v>5</v>
      </c>
      <c r="J758" s="6">
        <v>2</v>
      </c>
      <c r="K758" s="6">
        <v>1</v>
      </c>
      <c r="L758" s="6">
        <v>15</v>
      </c>
      <c r="M758" s="6">
        <v>303601</v>
      </c>
      <c r="N758" s="6">
        <v>6072020</v>
      </c>
      <c r="O758" s="6">
        <v>80</v>
      </c>
      <c r="P758" s="7">
        <v>8346.7314000000006</v>
      </c>
      <c r="Q758" s="7">
        <v>35096.068500000001</v>
      </c>
      <c r="R758" s="9">
        <f>D758*VLOOKUP(1001,적!$A$4:$D$13,3,FALSE)</f>
        <v>890110.35567840002</v>
      </c>
      <c r="S758" s="9">
        <f>D758*VLOOKUP(F758,보스!$A$4:$E$5,4,FALSE)</f>
        <v>32043972.804422401</v>
      </c>
    </row>
    <row r="759" spans="1:19" ht="21.95" customHeight="1">
      <c r="A759" s="6">
        <v>5756</v>
      </c>
      <c r="B759" s="2" t="s">
        <v>907</v>
      </c>
      <c r="C759" s="6">
        <v>756</v>
      </c>
      <c r="D759" s="7">
        <v>446911.24117400002</v>
      </c>
      <c r="E759" s="2" t="s">
        <v>152</v>
      </c>
      <c r="F759" s="6">
        <v>2002</v>
      </c>
      <c r="G759" s="6">
        <v>5</v>
      </c>
      <c r="H759" s="7">
        <v>30</v>
      </c>
      <c r="I759" s="6">
        <v>5</v>
      </c>
      <c r="J759" s="6">
        <v>2</v>
      </c>
      <c r="K759" s="6">
        <v>1</v>
      </c>
      <c r="L759" s="6">
        <v>15</v>
      </c>
      <c r="M759" s="6">
        <v>304007</v>
      </c>
      <c r="N759" s="6">
        <v>6080140</v>
      </c>
      <c r="O759" s="6">
        <v>80</v>
      </c>
      <c r="P759" s="7">
        <v>8367.1016</v>
      </c>
      <c r="Q759" s="7">
        <v>35181.718000000001</v>
      </c>
      <c r="R759" s="9">
        <f>D759*VLOOKUP(1001,적!$A$4:$D$13,3,FALSE)</f>
        <v>893822.48234800005</v>
      </c>
      <c r="S759" s="9">
        <f>D759*VLOOKUP(F759,보스!$A$4:$E$5,4,FALSE)</f>
        <v>32177609.364528</v>
      </c>
    </row>
    <row r="760" spans="1:19" ht="21.95" customHeight="1">
      <c r="A760" s="6">
        <v>5757</v>
      </c>
      <c r="B760" s="2" t="s">
        <v>908</v>
      </c>
      <c r="C760" s="6">
        <v>757</v>
      </c>
      <c r="D760" s="7">
        <v>448773.32465536002</v>
      </c>
      <c r="E760" s="2" t="s">
        <v>152</v>
      </c>
      <c r="F760" s="6">
        <v>2001</v>
      </c>
      <c r="G760" s="6">
        <v>5</v>
      </c>
      <c r="H760" s="7">
        <v>30</v>
      </c>
      <c r="I760" s="6">
        <v>5</v>
      </c>
      <c r="J760" s="6">
        <v>2</v>
      </c>
      <c r="K760" s="6">
        <v>1</v>
      </c>
      <c r="L760" s="6">
        <v>15</v>
      </c>
      <c r="M760" s="6">
        <v>304413</v>
      </c>
      <c r="N760" s="6">
        <v>6088260</v>
      </c>
      <c r="O760" s="6">
        <v>80</v>
      </c>
      <c r="P760" s="7">
        <v>8387.4964400000008</v>
      </c>
      <c r="Q760" s="7">
        <v>35267.471100000002</v>
      </c>
      <c r="R760" s="9">
        <f>D760*VLOOKUP(1001,적!$A$4:$D$13,3,FALSE)</f>
        <v>897546.64931072004</v>
      </c>
      <c r="S760" s="9">
        <f>D760*VLOOKUP(F760,보스!$A$4:$E$5,4,FALSE)</f>
        <v>32311679.375185922</v>
      </c>
    </row>
    <row r="761" spans="1:19" ht="21.95" customHeight="1">
      <c r="A761" s="6">
        <v>5758</v>
      </c>
      <c r="B761" s="2" t="s">
        <v>909</v>
      </c>
      <c r="C761" s="6">
        <v>758</v>
      </c>
      <c r="D761" s="7">
        <v>450641.44213679997</v>
      </c>
      <c r="E761" s="2" t="s">
        <v>152</v>
      </c>
      <c r="F761" s="6">
        <v>2002</v>
      </c>
      <c r="G761" s="6">
        <v>5</v>
      </c>
      <c r="H761" s="7">
        <v>30</v>
      </c>
      <c r="I761" s="6">
        <v>5</v>
      </c>
      <c r="J761" s="6">
        <v>2</v>
      </c>
      <c r="K761" s="6">
        <v>1</v>
      </c>
      <c r="L761" s="6">
        <v>15</v>
      </c>
      <c r="M761" s="6">
        <v>304819</v>
      </c>
      <c r="N761" s="6">
        <v>6096380</v>
      </c>
      <c r="O761" s="6">
        <v>80</v>
      </c>
      <c r="P761" s="7">
        <v>8407.9159199999995</v>
      </c>
      <c r="Q761" s="7">
        <v>35353.327799999999</v>
      </c>
      <c r="R761" s="9">
        <f>D761*VLOOKUP(1001,적!$A$4:$D$13,3,FALSE)</f>
        <v>901282.88427359995</v>
      </c>
      <c r="S761" s="9">
        <f>D761*VLOOKUP(F761,보스!$A$4:$E$5,4,FALSE)</f>
        <v>32446183.833849598</v>
      </c>
    </row>
    <row r="762" spans="1:19" ht="21.95" customHeight="1">
      <c r="A762" s="6">
        <v>5759</v>
      </c>
      <c r="B762" s="2" t="s">
        <v>910</v>
      </c>
      <c r="C762" s="6">
        <v>759</v>
      </c>
      <c r="D762" s="7">
        <v>452515.60748911998</v>
      </c>
      <c r="E762" s="2" t="s">
        <v>152</v>
      </c>
      <c r="F762" s="6">
        <v>2001</v>
      </c>
      <c r="G762" s="6">
        <v>5</v>
      </c>
      <c r="H762" s="7">
        <v>30</v>
      </c>
      <c r="I762" s="6">
        <v>5</v>
      </c>
      <c r="J762" s="6">
        <v>2</v>
      </c>
      <c r="K762" s="6">
        <v>1</v>
      </c>
      <c r="L762" s="6">
        <v>15</v>
      </c>
      <c r="M762" s="6">
        <v>305225</v>
      </c>
      <c r="N762" s="6">
        <v>6104500</v>
      </c>
      <c r="O762" s="6">
        <v>80</v>
      </c>
      <c r="P762" s="7">
        <v>8428.3600399999996</v>
      </c>
      <c r="Q762" s="7">
        <v>35439.288099999998</v>
      </c>
      <c r="R762" s="9">
        <f>D762*VLOOKUP(1001,적!$A$4:$D$13,3,FALSE)</f>
        <v>905031.21497823996</v>
      </c>
      <c r="S762" s="9">
        <f>D762*VLOOKUP(F762,보스!$A$4:$E$5,4,FALSE)</f>
        <v>32581123.739216641</v>
      </c>
    </row>
    <row r="763" spans="1:19" ht="21.95" customHeight="1">
      <c r="A763" s="6">
        <v>5760</v>
      </c>
      <c r="B763" s="2" t="s">
        <v>911</v>
      </c>
      <c r="C763" s="6">
        <v>760</v>
      </c>
      <c r="D763" s="7">
        <v>454395.83460040001</v>
      </c>
      <c r="E763" s="2" t="s">
        <v>152</v>
      </c>
      <c r="F763" s="6">
        <v>2002</v>
      </c>
      <c r="G763" s="6">
        <v>5</v>
      </c>
      <c r="H763" s="7">
        <v>30</v>
      </c>
      <c r="I763" s="6">
        <v>5</v>
      </c>
      <c r="J763" s="6">
        <v>2</v>
      </c>
      <c r="K763" s="6">
        <v>1</v>
      </c>
      <c r="L763" s="6">
        <v>15</v>
      </c>
      <c r="M763" s="6">
        <v>305631</v>
      </c>
      <c r="N763" s="6">
        <v>6112620</v>
      </c>
      <c r="O763" s="6">
        <v>81</v>
      </c>
      <c r="P763" s="7">
        <v>8448.8287999999993</v>
      </c>
      <c r="Q763" s="7">
        <v>35525.351999999999</v>
      </c>
      <c r="R763" s="9">
        <f>D763*VLOOKUP(1001,적!$A$4:$D$13,3,FALSE)</f>
        <v>908791.66920080001</v>
      </c>
      <c r="S763" s="9">
        <f>D763*VLOOKUP(F763,보스!$A$4:$E$5,4,FALSE)</f>
        <v>32716500.091228802</v>
      </c>
    </row>
    <row r="764" spans="1:19" ht="21.95" customHeight="1">
      <c r="A764" s="6">
        <v>5761</v>
      </c>
      <c r="B764" s="2" t="s">
        <v>912</v>
      </c>
      <c r="C764" s="6">
        <v>761</v>
      </c>
      <c r="D764" s="7">
        <v>456282.137376</v>
      </c>
      <c r="E764" s="2" t="s">
        <v>152</v>
      </c>
      <c r="F764" s="6">
        <v>2001</v>
      </c>
      <c r="G764" s="6">
        <v>5</v>
      </c>
      <c r="H764" s="7">
        <v>30</v>
      </c>
      <c r="I764" s="6">
        <v>5</v>
      </c>
      <c r="J764" s="6">
        <v>2</v>
      </c>
      <c r="K764" s="6">
        <v>1</v>
      </c>
      <c r="L764" s="6">
        <v>15</v>
      </c>
      <c r="M764" s="6">
        <v>306037</v>
      </c>
      <c r="N764" s="6">
        <v>6120740</v>
      </c>
      <c r="O764" s="6">
        <v>81</v>
      </c>
      <c r="P764" s="7">
        <v>8469.3222000000005</v>
      </c>
      <c r="Q764" s="7">
        <v>35611.519500000002</v>
      </c>
      <c r="R764" s="9">
        <f>D764*VLOOKUP(1001,적!$A$4:$D$13,3,FALSE)</f>
        <v>912564.274752</v>
      </c>
      <c r="S764" s="9">
        <f>D764*VLOOKUP(F764,보스!$A$4:$E$5,4,FALSE)</f>
        <v>32852313.891072001</v>
      </c>
    </row>
    <row r="765" spans="1:19" ht="21.95" customHeight="1">
      <c r="A765" s="6">
        <v>5762</v>
      </c>
      <c r="B765" s="2" t="s">
        <v>913</v>
      </c>
      <c r="C765" s="6">
        <v>762</v>
      </c>
      <c r="D765" s="7">
        <v>458174.52973856003</v>
      </c>
      <c r="E765" s="2" t="s">
        <v>152</v>
      </c>
      <c r="F765" s="6">
        <v>2002</v>
      </c>
      <c r="G765" s="6">
        <v>5</v>
      </c>
      <c r="H765" s="7">
        <v>30</v>
      </c>
      <c r="I765" s="6">
        <v>5</v>
      </c>
      <c r="J765" s="6">
        <v>2</v>
      </c>
      <c r="K765" s="6">
        <v>1</v>
      </c>
      <c r="L765" s="6">
        <v>15</v>
      </c>
      <c r="M765" s="6">
        <v>306443</v>
      </c>
      <c r="N765" s="6">
        <v>6128860</v>
      </c>
      <c r="O765" s="6">
        <v>81</v>
      </c>
      <c r="P765" s="7">
        <v>8489.8402399999995</v>
      </c>
      <c r="Q765" s="7">
        <v>35697.7906</v>
      </c>
      <c r="R765" s="9">
        <f>D765*VLOOKUP(1001,적!$A$4:$D$13,3,FALSE)</f>
        <v>916349.05947712006</v>
      </c>
      <c r="S765" s="9">
        <f>D765*VLOOKUP(F765,보스!$A$4:$E$5,4,FALSE)</f>
        <v>32988566.141176321</v>
      </c>
    </row>
    <row r="766" spans="1:19" ht="21.95" customHeight="1">
      <c r="A766" s="6">
        <v>5763</v>
      </c>
      <c r="B766" s="2" t="s">
        <v>914</v>
      </c>
      <c r="C766" s="6">
        <v>763</v>
      </c>
      <c r="D766" s="7">
        <v>460073.02562799997</v>
      </c>
      <c r="E766" s="2" t="s">
        <v>152</v>
      </c>
      <c r="F766" s="6">
        <v>2001</v>
      </c>
      <c r="G766" s="6">
        <v>5</v>
      </c>
      <c r="H766" s="7">
        <v>30</v>
      </c>
      <c r="I766" s="6">
        <v>5</v>
      </c>
      <c r="J766" s="6">
        <v>2</v>
      </c>
      <c r="K766" s="6">
        <v>1</v>
      </c>
      <c r="L766" s="6">
        <v>15</v>
      </c>
      <c r="M766" s="6">
        <v>306849</v>
      </c>
      <c r="N766" s="6">
        <v>6136980</v>
      </c>
      <c r="O766" s="6">
        <v>81</v>
      </c>
      <c r="P766" s="7">
        <v>8510.38292</v>
      </c>
      <c r="Q766" s="7">
        <v>35784.165300000001</v>
      </c>
      <c r="R766" s="9">
        <f>D766*VLOOKUP(1001,적!$A$4:$D$13,3,FALSE)</f>
        <v>920146.05125599995</v>
      </c>
      <c r="S766" s="9">
        <f>D766*VLOOKUP(F766,보스!$A$4:$E$5,4,FALSE)</f>
        <v>33125257.845215999</v>
      </c>
    </row>
    <row r="767" spans="1:19" ht="21.95" customHeight="1">
      <c r="A767" s="6">
        <v>5764</v>
      </c>
      <c r="B767" s="2" t="s">
        <v>915</v>
      </c>
      <c r="C767" s="6">
        <v>764</v>
      </c>
      <c r="D767" s="7">
        <v>461977.63900152</v>
      </c>
      <c r="E767" s="2" t="s">
        <v>152</v>
      </c>
      <c r="F767" s="6">
        <v>2002</v>
      </c>
      <c r="G767" s="6">
        <v>5</v>
      </c>
      <c r="H767" s="7">
        <v>30</v>
      </c>
      <c r="I767" s="6">
        <v>5</v>
      </c>
      <c r="J767" s="6">
        <v>2</v>
      </c>
      <c r="K767" s="6">
        <v>1</v>
      </c>
      <c r="L767" s="6">
        <v>15</v>
      </c>
      <c r="M767" s="6">
        <v>307255</v>
      </c>
      <c r="N767" s="6">
        <v>6145100</v>
      </c>
      <c r="O767" s="6">
        <v>81</v>
      </c>
      <c r="P767" s="7">
        <v>8530.9502400000001</v>
      </c>
      <c r="Q767" s="7">
        <v>35870.643600000003</v>
      </c>
      <c r="R767" s="9">
        <f>D767*VLOOKUP(1001,적!$A$4:$D$13,3,FALSE)</f>
        <v>923955.27800304</v>
      </c>
      <c r="S767" s="9">
        <f>D767*VLOOKUP(F767,보스!$A$4:$E$5,4,FALSE)</f>
        <v>33262390.008109439</v>
      </c>
    </row>
    <row r="768" spans="1:19" ht="21.95" customHeight="1">
      <c r="A768" s="6">
        <v>5765</v>
      </c>
      <c r="B768" s="2" t="s">
        <v>916</v>
      </c>
      <c r="C768" s="6">
        <v>765</v>
      </c>
      <c r="D768" s="7">
        <v>463888.38383359998</v>
      </c>
      <c r="E768" s="2" t="s">
        <v>152</v>
      </c>
      <c r="F768" s="6">
        <v>2001</v>
      </c>
      <c r="G768" s="6">
        <v>5</v>
      </c>
      <c r="H768" s="7">
        <v>30</v>
      </c>
      <c r="I768" s="6">
        <v>5</v>
      </c>
      <c r="J768" s="6">
        <v>2</v>
      </c>
      <c r="K768" s="6">
        <v>1</v>
      </c>
      <c r="L768" s="6">
        <v>15</v>
      </c>
      <c r="M768" s="6">
        <v>307661</v>
      </c>
      <c r="N768" s="6">
        <v>6153220</v>
      </c>
      <c r="O768" s="6">
        <v>81</v>
      </c>
      <c r="P768" s="7">
        <v>8551.5421999999999</v>
      </c>
      <c r="Q768" s="7">
        <v>35957.2255</v>
      </c>
      <c r="R768" s="9">
        <f>D768*VLOOKUP(1001,적!$A$4:$D$13,3,FALSE)</f>
        <v>927776.76766719995</v>
      </c>
      <c r="S768" s="9">
        <f>D768*VLOOKUP(F768,보스!$A$4:$E$5,4,FALSE)</f>
        <v>33399963.6360192</v>
      </c>
    </row>
    <row r="769" spans="1:19" ht="21.95" customHeight="1">
      <c r="A769" s="6">
        <v>5766</v>
      </c>
      <c r="B769" s="2" t="s">
        <v>917</v>
      </c>
      <c r="C769" s="6">
        <v>766</v>
      </c>
      <c r="D769" s="7">
        <v>465805.27411599999</v>
      </c>
      <c r="E769" s="2" t="s">
        <v>152</v>
      </c>
      <c r="F769" s="6">
        <v>2002</v>
      </c>
      <c r="G769" s="6">
        <v>5</v>
      </c>
      <c r="H769" s="7">
        <v>30</v>
      </c>
      <c r="I769" s="6">
        <v>5</v>
      </c>
      <c r="J769" s="6">
        <v>2</v>
      </c>
      <c r="K769" s="6">
        <v>1</v>
      </c>
      <c r="L769" s="6">
        <v>15</v>
      </c>
      <c r="M769" s="6">
        <v>308067</v>
      </c>
      <c r="N769" s="6">
        <v>6161340</v>
      </c>
      <c r="O769" s="6">
        <v>81</v>
      </c>
      <c r="P769" s="7">
        <v>8572.1587999999992</v>
      </c>
      <c r="Q769" s="7">
        <v>36043.911</v>
      </c>
      <c r="R769" s="9">
        <f>D769*VLOOKUP(1001,적!$A$4:$D$13,3,FALSE)</f>
        <v>931610.54823199997</v>
      </c>
      <c r="S769" s="9">
        <f>D769*VLOOKUP(F769,보스!$A$4:$E$5,4,FALSE)</f>
        <v>33537979.736352</v>
      </c>
    </row>
    <row r="770" spans="1:19" ht="21.95" customHeight="1">
      <c r="A770" s="6">
        <v>5767</v>
      </c>
      <c r="B770" s="2" t="s">
        <v>918</v>
      </c>
      <c r="C770" s="6">
        <v>767</v>
      </c>
      <c r="D770" s="7">
        <v>467728.32385776</v>
      </c>
      <c r="E770" s="2" t="s">
        <v>152</v>
      </c>
      <c r="F770" s="6">
        <v>2001</v>
      </c>
      <c r="G770" s="6">
        <v>5</v>
      </c>
      <c r="H770" s="7">
        <v>30</v>
      </c>
      <c r="I770" s="6">
        <v>5</v>
      </c>
      <c r="J770" s="6">
        <v>2</v>
      </c>
      <c r="K770" s="6">
        <v>1</v>
      </c>
      <c r="L770" s="6">
        <v>15</v>
      </c>
      <c r="M770" s="6">
        <v>308473</v>
      </c>
      <c r="N770" s="6">
        <v>6169460</v>
      </c>
      <c r="O770" s="6">
        <v>81</v>
      </c>
      <c r="P770" s="7">
        <v>8592.8000400000001</v>
      </c>
      <c r="Q770" s="7">
        <v>36130.700100000002</v>
      </c>
      <c r="R770" s="9">
        <f>D770*VLOOKUP(1001,적!$A$4:$D$13,3,FALSE)</f>
        <v>935456.64771552</v>
      </c>
      <c r="S770" s="9">
        <f>D770*VLOOKUP(F770,보스!$A$4:$E$5,4,FALSE)</f>
        <v>33676439.317758717</v>
      </c>
    </row>
    <row r="771" spans="1:19" ht="21.95" customHeight="1">
      <c r="A771" s="6">
        <v>5768</v>
      </c>
      <c r="B771" s="2" t="s">
        <v>919</v>
      </c>
      <c r="C771" s="6">
        <v>768</v>
      </c>
      <c r="D771" s="7">
        <v>469657.54708520003</v>
      </c>
      <c r="E771" s="2" t="s">
        <v>152</v>
      </c>
      <c r="F771" s="6">
        <v>2002</v>
      </c>
      <c r="G771" s="6">
        <v>5</v>
      </c>
      <c r="H771" s="7">
        <v>30</v>
      </c>
      <c r="I771" s="6">
        <v>5</v>
      </c>
      <c r="J771" s="6">
        <v>2</v>
      </c>
      <c r="K771" s="6">
        <v>1</v>
      </c>
      <c r="L771" s="6">
        <v>15</v>
      </c>
      <c r="M771" s="6">
        <v>308879</v>
      </c>
      <c r="N771" s="6">
        <v>6177580</v>
      </c>
      <c r="O771" s="6">
        <v>81</v>
      </c>
      <c r="P771" s="7">
        <v>8613.4659200000006</v>
      </c>
      <c r="Q771" s="7">
        <v>36217.592799999999</v>
      </c>
      <c r="R771" s="9">
        <f>D771*VLOOKUP(1001,적!$A$4:$D$13,3,FALSE)</f>
        <v>939315.09417040006</v>
      </c>
      <c r="S771" s="9">
        <f>D771*VLOOKUP(F771,보스!$A$4:$E$5,4,FALSE)</f>
        <v>33815343.390134402</v>
      </c>
    </row>
    <row r="772" spans="1:19" ht="21.95" customHeight="1">
      <c r="A772" s="6">
        <v>5769</v>
      </c>
      <c r="B772" s="2" t="s">
        <v>920</v>
      </c>
      <c r="C772" s="6">
        <v>769</v>
      </c>
      <c r="D772" s="7">
        <v>471592.95784192003</v>
      </c>
      <c r="E772" s="2" t="s">
        <v>152</v>
      </c>
      <c r="F772" s="6">
        <v>2001</v>
      </c>
      <c r="G772" s="6">
        <v>5</v>
      </c>
      <c r="H772" s="7">
        <v>30</v>
      </c>
      <c r="I772" s="6">
        <v>5</v>
      </c>
      <c r="J772" s="6">
        <v>2</v>
      </c>
      <c r="K772" s="6">
        <v>1</v>
      </c>
      <c r="L772" s="6">
        <v>15</v>
      </c>
      <c r="M772" s="6">
        <v>309285</v>
      </c>
      <c r="N772" s="6">
        <v>6185700</v>
      </c>
      <c r="O772" s="6">
        <v>81</v>
      </c>
      <c r="P772" s="7">
        <v>8634.1564400000007</v>
      </c>
      <c r="Q772" s="7">
        <v>36304.589099999997</v>
      </c>
      <c r="R772" s="9">
        <f>D772*VLOOKUP(1001,적!$A$4:$D$13,3,FALSE)</f>
        <v>943185.91568384005</v>
      </c>
      <c r="S772" s="9">
        <f>D772*VLOOKUP(F772,보스!$A$4:$E$5,4,FALSE)</f>
        <v>33954692.964618243</v>
      </c>
    </row>
    <row r="773" spans="1:19" ht="21.95" customHeight="1">
      <c r="A773" s="6">
        <v>5770</v>
      </c>
      <c r="B773" s="2" t="s">
        <v>921</v>
      </c>
      <c r="C773" s="6">
        <v>770</v>
      </c>
      <c r="D773" s="7">
        <v>473534.57018879999</v>
      </c>
      <c r="E773" s="2" t="s">
        <v>152</v>
      </c>
      <c r="F773" s="6">
        <v>2002</v>
      </c>
      <c r="G773" s="6">
        <v>5</v>
      </c>
      <c r="H773" s="7">
        <v>30</v>
      </c>
      <c r="I773" s="6">
        <v>5</v>
      </c>
      <c r="J773" s="6">
        <v>2</v>
      </c>
      <c r="K773" s="6">
        <v>1</v>
      </c>
      <c r="L773" s="6">
        <v>15</v>
      </c>
      <c r="M773" s="6">
        <v>309691</v>
      </c>
      <c r="N773" s="6">
        <v>6193820</v>
      </c>
      <c r="O773" s="6">
        <v>82</v>
      </c>
      <c r="P773" s="7">
        <v>8654.8716000000004</v>
      </c>
      <c r="Q773" s="7">
        <v>36391.688999999998</v>
      </c>
      <c r="R773" s="9">
        <f>D773*VLOOKUP(1001,적!$A$4:$D$13,3,FALSE)</f>
        <v>947069.14037759998</v>
      </c>
      <c r="S773" s="9">
        <f>D773*VLOOKUP(F773,보스!$A$4:$E$5,4,FALSE)</f>
        <v>34094489.053593598</v>
      </c>
    </row>
    <row r="774" spans="1:19" ht="21.95" customHeight="1">
      <c r="A774" s="6">
        <v>5771</v>
      </c>
      <c r="B774" s="2" t="s">
        <v>922</v>
      </c>
      <c r="C774" s="6">
        <v>771</v>
      </c>
      <c r="D774" s="7">
        <v>475482.39820400003</v>
      </c>
      <c r="E774" s="2" t="s">
        <v>152</v>
      </c>
      <c r="F774" s="6">
        <v>2001</v>
      </c>
      <c r="G774" s="6">
        <v>5</v>
      </c>
      <c r="H774" s="7">
        <v>30</v>
      </c>
      <c r="I774" s="6">
        <v>5</v>
      </c>
      <c r="J774" s="6">
        <v>2</v>
      </c>
      <c r="K774" s="6">
        <v>1</v>
      </c>
      <c r="L774" s="6">
        <v>15</v>
      </c>
      <c r="M774" s="6">
        <v>310097</v>
      </c>
      <c r="N774" s="6">
        <v>6201940</v>
      </c>
      <c r="O774" s="6">
        <v>82</v>
      </c>
      <c r="P774" s="7">
        <v>8675.6113999999998</v>
      </c>
      <c r="Q774" s="7">
        <v>36478.892500000002</v>
      </c>
      <c r="R774" s="9">
        <f>D774*VLOOKUP(1001,적!$A$4:$D$13,3,FALSE)</f>
        <v>950964.79640800005</v>
      </c>
      <c r="S774" s="9">
        <f>D774*VLOOKUP(F774,보스!$A$4:$E$5,4,FALSE)</f>
        <v>34234732.670688003</v>
      </c>
    </row>
    <row r="775" spans="1:19" ht="21.95" customHeight="1">
      <c r="A775" s="6">
        <v>5772</v>
      </c>
      <c r="B775" s="2" t="s">
        <v>923</v>
      </c>
      <c r="C775" s="6">
        <v>772</v>
      </c>
      <c r="D775" s="7">
        <v>477436.45598296</v>
      </c>
      <c r="E775" s="2" t="s">
        <v>152</v>
      </c>
      <c r="F775" s="6">
        <v>2002</v>
      </c>
      <c r="G775" s="6">
        <v>5</v>
      </c>
      <c r="H775" s="7">
        <v>30</v>
      </c>
      <c r="I775" s="6">
        <v>5</v>
      </c>
      <c r="J775" s="6">
        <v>2</v>
      </c>
      <c r="K775" s="6">
        <v>1</v>
      </c>
      <c r="L775" s="6">
        <v>15</v>
      </c>
      <c r="M775" s="6">
        <v>310503</v>
      </c>
      <c r="N775" s="6">
        <v>6210060</v>
      </c>
      <c r="O775" s="6">
        <v>82</v>
      </c>
      <c r="P775" s="7">
        <v>8696.3758400000006</v>
      </c>
      <c r="Q775" s="7">
        <v>36566.1996</v>
      </c>
      <c r="R775" s="9">
        <f>D775*VLOOKUP(1001,적!$A$4:$D$13,3,FALSE)</f>
        <v>954872.91196592001</v>
      </c>
      <c r="S775" s="9">
        <f>D775*VLOOKUP(F775,보스!$A$4:$E$5,4,FALSE)</f>
        <v>34375424.830773123</v>
      </c>
    </row>
    <row r="776" spans="1:19" ht="21.95" customHeight="1">
      <c r="A776" s="6">
        <v>5773</v>
      </c>
      <c r="B776" s="2" t="s">
        <v>924</v>
      </c>
      <c r="C776" s="6">
        <v>773</v>
      </c>
      <c r="D776" s="7">
        <v>479396.75763840001</v>
      </c>
      <c r="E776" s="2" t="s">
        <v>152</v>
      </c>
      <c r="F776" s="6">
        <v>2001</v>
      </c>
      <c r="G776" s="6">
        <v>5</v>
      </c>
      <c r="H776" s="7">
        <v>30</v>
      </c>
      <c r="I776" s="6">
        <v>5</v>
      </c>
      <c r="J776" s="6">
        <v>2</v>
      </c>
      <c r="K776" s="6">
        <v>1</v>
      </c>
      <c r="L776" s="6">
        <v>15</v>
      </c>
      <c r="M776" s="6">
        <v>310909</v>
      </c>
      <c r="N776" s="6">
        <v>6218180</v>
      </c>
      <c r="O776" s="6">
        <v>82</v>
      </c>
      <c r="P776" s="7">
        <v>8717.1649199999993</v>
      </c>
      <c r="Q776" s="7">
        <v>36653.6103</v>
      </c>
      <c r="R776" s="9">
        <f>D776*VLOOKUP(1001,적!$A$4:$D$13,3,FALSE)</f>
        <v>958793.51527680003</v>
      </c>
      <c r="S776" s="9">
        <f>D776*VLOOKUP(F776,보스!$A$4:$E$5,4,FALSE)</f>
        <v>34516566.5499648</v>
      </c>
    </row>
    <row r="777" spans="1:19" ht="21.95" customHeight="1">
      <c r="A777" s="6">
        <v>5774</v>
      </c>
      <c r="B777" s="2" t="s">
        <v>925</v>
      </c>
      <c r="C777" s="6">
        <v>774</v>
      </c>
      <c r="D777" s="7">
        <v>481363.31730032002</v>
      </c>
      <c r="E777" s="2" t="s">
        <v>152</v>
      </c>
      <c r="F777" s="6">
        <v>2002</v>
      </c>
      <c r="G777" s="6">
        <v>5</v>
      </c>
      <c r="H777" s="7">
        <v>30</v>
      </c>
      <c r="I777" s="6">
        <v>5</v>
      </c>
      <c r="J777" s="6">
        <v>2</v>
      </c>
      <c r="K777" s="6">
        <v>1</v>
      </c>
      <c r="L777" s="6">
        <v>15</v>
      </c>
      <c r="M777" s="6">
        <v>311315</v>
      </c>
      <c r="N777" s="6">
        <v>6226300</v>
      </c>
      <c r="O777" s="6">
        <v>82</v>
      </c>
      <c r="P777" s="7">
        <v>8737.9786399999994</v>
      </c>
      <c r="Q777" s="7">
        <v>36741.124600000003</v>
      </c>
      <c r="R777" s="9">
        <f>D777*VLOOKUP(1001,적!$A$4:$D$13,3,FALSE)</f>
        <v>962726.63460064004</v>
      </c>
      <c r="S777" s="9">
        <f>D777*VLOOKUP(F777,보스!$A$4:$E$5,4,FALSE)</f>
        <v>34658158.845623039</v>
      </c>
    </row>
    <row r="778" spans="1:19" ht="21.95" customHeight="1">
      <c r="A778" s="6">
        <v>5775</v>
      </c>
      <c r="B778" s="2" t="s">
        <v>926</v>
      </c>
      <c r="C778" s="6">
        <v>775</v>
      </c>
      <c r="D778" s="7">
        <v>483336.14911599999</v>
      </c>
      <c r="E778" s="2" t="s">
        <v>152</v>
      </c>
      <c r="F778" s="6">
        <v>2001</v>
      </c>
      <c r="G778" s="6">
        <v>5</v>
      </c>
      <c r="H778" s="7">
        <v>30</v>
      </c>
      <c r="I778" s="6">
        <v>5</v>
      </c>
      <c r="J778" s="6">
        <v>2</v>
      </c>
      <c r="K778" s="6">
        <v>1</v>
      </c>
      <c r="L778" s="6">
        <v>15</v>
      </c>
      <c r="M778" s="6">
        <v>311721</v>
      </c>
      <c r="N778" s="6">
        <v>6234420</v>
      </c>
      <c r="O778" s="6">
        <v>82</v>
      </c>
      <c r="P778" s="7">
        <v>8758.8169999999991</v>
      </c>
      <c r="Q778" s="7">
        <v>36828.7425</v>
      </c>
      <c r="R778" s="9">
        <f>D778*VLOOKUP(1001,적!$A$4:$D$13,3,FALSE)</f>
        <v>966672.29823199997</v>
      </c>
      <c r="S778" s="9">
        <f>D778*VLOOKUP(F778,보스!$A$4:$E$5,4,FALSE)</f>
        <v>34800202.736351997</v>
      </c>
    </row>
    <row r="779" spans="1:19" ht="21.95" customHeight="1">
      <c r="A779" s="6">
        <v>5776</v>
      </c>
      <c r="B779" s="2" t="s">
        <v>927</v>
      </c>
      <c r="C779" s="6">
        <v>776</v>
      </c>
      <c r="D779" s="7">
        <v>485315.26724999998</v>
      </c>
      <c r="E779" s="2" t="s">
        <v>152</v>
      </c>
      <c r="F779" s="6">
        <v>2002</v>
      </c>
      <c r="G779" s="6">
        <v>5</v>
      </c>
      <c r="H779" s="7">
        <v>30</v>
      </c>
      <c r="I779" s="6">
        <v>5</v>
      </c>
      <c r="J779" s="6">
        <v>2</v>
      </c>
      <c r="K779" s="6">
        <v>1</v>
      </c>
      <c r="L779" s="6">
        <v>15</v>
      </c>
      <c r="M779" s="6">
        <v>312127</v>
      </c>
      <c r="N779" s="6">
        <v>6242540</v>
      </c>
      <c r="O779" s="6">
        <v>82</v>
      </c>
      <c r="P779" s="7">
        <v>8779.68</v>
      </c>
      <c r="Q779" s="7">
        <v>36916.464</v>
      </c>
      <c r="R779" s="9">
        <f>D779*VLOOKUP(1001,적!$A$4:$D$13,3,FALSE)</f>
        <v>970630.53449999995</v>
      </c>
      <c r="S779" s="9">
        <f>D779*VLOOKUP(F779,보스!$A$4:$E$5,4,FALSE)</f>
        <v>34942699.241999999</v>
      </c>
    </row>
    <row r="780" spans="1:19" ht="21.95" customHeight="1">
      <c r="A780" s="6">
        <v>5777</v>
      </c>
      <c r="B780" s="2" t="s">
        <v>928</v>
      </c>
      <c r="C780" s="6">
        <v>777</v>
      </c>
      <c r="D780" s="7">
        <v>487300.68588415999</v>
      </c>
      <c r="E780" s="2" t="s">
        <v>152</v>
      </c>
      <c r="F780" s="6">
        <v>2001</v>
      </c>
      <c r="G780" s="6">
        <v>5</v>
      </c>
      <c r="H780" s="7">
        <v>30</v>
      </c>
      <c r="I780" s="6">
        <v>5</v>
      </c>
      <c r="J780" s="6">
        <v>2</v>
      </c>
      <c r="K780" s="6">
        <v>1</v>
      </c>
      <c r="L780" s="6">
        <v>15</v>
      </c>
      <c r="M780" s="6">
        <v>312533</v>
      </c>
      <c r="N780" s="6">
        <v>6250660</v>
      </c>
      <c r="O780" s="6">
        <v>82</v>
      </c>
      <c r="P780" s="7">
        <v>8800.5676399999993</v>
      </c>
      <c r="Q780" s="7">
        <v>37004.289100000002</v>
      </c>
      <c r="R780" s="9">
        <f>D780*VLOOKUP(1001,적!$A$4:$D$13,3,FALSE)</f>
        <v>974601.37176831998</v>
      </c>
      <c r="S780" s="9">
        <f>D780*VLOOKUP(F780,보스!$A$4:$E$5,4,FALSE)</f>
        <v>35085649.383659519</v>
      </c>
    </row>
    <row r="781" spans="1:19" ht="21.95" customHeight="1">
      <c r="A781" s="6">
        <v>5778</v>
      </c>
      <c r="B781" s="2" t="s">
        <v>929</v>
      </c>
      <c r="C781" s="6">
        <v>778</v>
      </c>
      <c r="D781" s="7">
        <v>489292.41921760002</v>
      </c>
      <c r="E781" s="2" t="s">
        <v>152</v>
      </c>
      <c r="F781" s="6">
        <v>2002</v>
      </c>
      <c r="G781" s="6">
        <v>5</v>
      </c>
      <c r="H781" s="7">
        <v>30</v>
      </c>
      <c r="I781" s="6">
        <v>5</v>
      </c>
      <c r="J781" s="6">
        <v>2</v>
      </c>
      <c r="K781" s="6">
        <v>1</v>
      </c>
      <c r="L781" s="6">
        <v>15</v>
      </c>
      <c r="M781" s="6">
        <v>312939</v>
      </c>
      <c r="N781" s="6">
        <v>6258780</v>
      </c>
      <c r="O781" s="6">
        <v>82</v>
      </c>
      <c r="P781" s="7">
        <v>8821.4799199999998</v>
      </c>
      <c r="Q781" s="7">
        <v>37092.217799999999</v>
      </c>
      <c r="R781" s="9">
        <f>D781*VLOOKUP(1001,적!$A$4:$D$13,3,FALSE)</f>
        <v>978584.83843520004</v>
      </c>
      <c r="S781" s="9">
        <f>D781*VLOOKUP(F781,보스!$A$4:$E$5,4,FALSE)</f>
        <v>35229054.183667198</v>
      </c>
    </row>
    <row r="782" spans="1:19" ht="21.95" customHeight="1">
      <c r="A782" s="6">
        <v>5779</v>
      </c>
      <c r="B782" s="2" t="s">
        <v>930</v>
      </c>
      <c r="C782" s="6">
        <v>779</v>
      </c>
      <c r="D782" s="7">
        <v>491290.48146672</v>
      </c>
      <c r="E782" s="2" t="s">
        <v>152</v>
      </c>
      <c r="F782" s="6">
        <v>2001</v>
      </c>
      <c r="G782" s="6">
        <v>5</v>
      </c>
      <c r="H782" s="7">
        <v>30</v>
      </c>
      <c r="I782" s="6">
        <v>5</v>
      </c>
      <c r="J782" s="6">
        <v>2</v>
      </c>
      <c r="K782" s="6">
        <v>1</v>
      </c>
      <c r="L782" s="6">
        <v>15</v>
      </c>
      <c r="M782" s="6">
        <v>313345</v>
      </c>
      <c r="N782" s="6">
        <v>6266900</v>
      </c>
      <c r="O782" s="6">
        <v>82</v>
      </c>
      <c r="P782" s="7">
        <v>8842.4168399999999</v>
      </c>
      <c r="Q782" s="7">
        <v>37180.250099999997</v>
      </c>
      <c r="R782" s="9">
        <f>D782*VLOOKUP(1001,적!$A$4:$D$13,3,FALSE)</f>
        <v>982580.96293343999</v>
      </c>
      <c r="S782" s="9">
        <f>D782*VLOOKUP(F782,보스!$A$4:$E$5,4,FALSE)</f>
        <v>35372914.665603839</v>
      </c>
    </row>
    <row r="783" spans="1:19" ht="21.95" customHeight="1">
      <c r="A783" s="6">
        <v>5780</v>
      </c>
      <c r="B783" s="2" t="s">
        <v>931</v>
      </c>
      <c r="C783" s="6">
        <v>780</v>
      </c>
      <c r="D783" s="7">
        <v>493294.88686520001</v>
      </c>
      <c r="E783" s="2" t="s">
        <v>152</v>
      </c>
      <c r="F783" s="6">
        <v>2002</v>
      </c>
      <c r="G783" s="6">
        <v>5</v>
      </c>
      <c r="H783" s="7">
        <v>30</v>
      </c>
      <c r="I783" s="6">
        <v>5</v>
      </c>
      <c r="J783" s="6">
        <v>2</v>
      </c>
      <c r="K783" s="6">
        <v>1</v>
      </c>
      <c r="L783" s="6">
        <v>15</v>
      </c>
      <c r="M783" s="6">
        <v>313751</v>
      </c>
      <c r="N783" s="6">
        <v>6275020</v>
      </c>
      <c r="O783" s="6">
        <v>83</v>
      </c>
      <c r="P783" s="7">
        <v>8863.3783999999996</v>
      </c>
      <c r="Q783" s="7">
        <v>37268.385999999999</v>
      </c>
      <c r="R783" s="9">
        <f>D783*VLOOKUP(1001,적!$A$4:$D$13,3,FALSE)</f>
        <v>986589.77373040002</v>
      </c>
      <c r="S783" s="9">
        <f>D783*VLOOKUP(F783,보스!$A$4:$E$5,4,FALSE)</f>
        <v>35517231.854294404</v>
      </c>
    </row>
    <row r="784" spans="1:19" ht="21.95" customHeight="1">
      <c r="A784" s="6">
        <v>5781</v>
      </c>
      <c r="B784" s="2" t="s">
        <v>932</v>
      </c>
      <c r="C784" s="6">
        <v>781</v>
      </c>
      <c r="D784" s="7">
        <v>495305.64966400003</v>
      </c>
      <c r="E784" s="2" t="s">
        <v>152</v>
      </c>
      <c r="F784" s="6">
        <v>2001</v>
      </c>
      <c r="G784" s="6">
        <v>5</v>
      </c>
      <c r="H784" s="7">
        <v>30</v>
      </c>
      <c r="I784" s="6">
        <v>5</v>
      </c>
      <c r="J784" s="6">
        <v>2</v>
      </c>
      <c r="K784" s="6">
        <v>1</v>
      </c>
      <c r="L784" s="6">
        <v>15</v>
      </c>
      <c r="M784" s="6">
        <v>314157</v>
      </c>
      <c r="N784" s="6">
        <v>6283140</v>
      </c>
      <c r="O784" s="6">
        <v>83</v>
      </c>
      <c r="P784" s="7">
        <v>8884.3646000000008</v>
      </c>
      <c r="Q784" s="7">
        <v>37356.625500000002</v>
      </c>
      <c r="R784" s="9">
        <f>D784*VLOOKUP(1001,적!$A$4:$D$13,3,FALSE)</f>
        <v>990611.29932800005</v>
      </c>
      <c r="S784" s="9">
        <f>D784*VLOOKUP(F784,보스!$A$4:$E$5,4,FALSE)</f>
        <v>35662006.775807999</v>
      </c>
    </row>
    <row r="785" spans="1:19" ht="21.95" customHeight="1">
      <c r="A785" s="6">
        <v>5782</v>
      </c>
      <c r="B785" s="2" t="s">
        <v>933</v>
      </c>
      <c r="C785" s="6">
        <v>782</v>
      </c>
      <c r="D785" s="7">
        <v>497322.78413136001</v>
      </c>
      <c r="E785" s="2" t="s">
        <v>152</v>
      </c>
      <c r="F785" s="6">
        <v>2002</v>
      </c>
      <c r="G785" s="6">
        <v>5</v>
      </c>
      <c r="H785" s="7">
        <v>30</v>
      </c>
      <c r="I785" s="6">
        <v>5</v>
      </c>
      <c r="J785" s="6">
        <v>2</v>
      </c>
      <c r="K785" s="6">
        <v>1</v>
      </c>
      <c r="L785" s="6">
        <v>15</v>
      </c>
      <c r="M785" s="6">
        <v>314564</v>
      </c>
      <c r="N785" s="6">
        <v>6291280</v>
      </c>
      <c r="O785" s="6">
        <v>83</v>
      </c>
      <c r="P785" s="7">
        <v>8905.3754399999998</v>
      </c>
      <c r="Q785" s="7">
        <v>37444.9686</v>
      </c>
      <c r="R785" s="9">
        <f>D785*VLOOKUP(1001,적!$A$4:$D$13,3,FALSE)</f>
        <v>994645.56826272001</v>
      </c>
      <c r="S785" s="9">
        <f>D785*VLOOKUP(F785,보스!$A$4:$E$5,4,FALSE)</f>
        <v>35807240.457457922</v>
      </c>
    </row>
    <row r="786" spans="1:19" ht="21.95" customHeight="1">
      <c r="A786" s="6">
        <v>5783</v>
      </c>
      <c r="B786" s="2" t="s">
        <v>934</v>
      </c>
      <c r="C786" s="6">
        <v>783</v>
      </c>
      <c r="D786" s="7">
        <v>499346.30455280002</v>
      </c>
      <c r="E786" s="2" t="s">
        <v>152</v>
      </c>
      <c r="F786" s="6">
        <v>2001</v>
      </c>
      <c r="G786" s="6">
        <v>5</v>
      </c>
      <c r="H786" s="7">
        <v>30</v>
      </c>
      <c r="I786" s="6">
        <v>5</v>
      </c>
      <c r="J786" s="6">
        <v>2</v>
      </c>
      <c r="K786" s="6">
        <v>1</v>
      </c>
      <c r="L786" s="6">
        <v>15</v>
      </c>
      <c r="M786" s="6">
        <v>314970</v>
      </c>
      <c r="N786" s="6">
        <v>6299400</v>
      </c>
      <c r="O786" s="6">
        <v>83</v>
      </c>
      <c r="P786" s="7">
        <v>8926.4109200000003</v>
      </c>
      <c r="Q786" s="7">
        <v>37533.415300000001</v>
      </c>
      <c r="R786" s="9">
        <f>D786*VLOOKUP(1001,적!$A$4:$D$13,3,FALSE)</f>
        <v>998692.60910560004</v>
      </c>
      <c r="S786" s="9">
        <f>D786*VLOOKUP(F786,보스!$A$4:$E$5,4,FALSE)</f>
        <v>35952933.927801602</v>
      </c>
    </row>
    <row r="787" spans="1:19" ht="21.95" customHeight="1">
      <c r="A787" s="6">
        <v>5784</v>
      </c>
      <c r="B787" s="2" t="s">
        <v>935</v>
      </c>
      <c r="C787" s="6">
        <v>784</v>
      </c>
      <c r="D787" s="7">
        <v>501376.22523112001</v>
      </c>
      <c r="E787" s="2" t="s">
        <v>152</v>
      </c>
      <c r="F787" s="6">
        <v>2002</v>
      </c>
      <c r="G787" s="6">
        <v>5</v>
      </c>
      <c r="H787" s="7">
        <v>30</v>
      </c>
      <c r="I787" s="6">
        <v>5</v>
      </c>
      <c r="J787" s="6">
        <v>2</v>
      </c>
      <c r="K787" s="6">
        <v>1</v>
      </c>
      <c r="L787" s="6">
        <v>15</v>
      </c>
      <c r="M787" s="6">
        <v>315376</v>
      </c>
      <c r="N787" s="6">
        <v>6307520</v>
      </c>
      <c r="O787" s="6">
        <v>83</v>
      </c>
      <c r="P787" s="7">
        <v>8947.4710400000004</v>
      </c>
      <c r="Q787" s="7">
        <v>37621.965600000003</v>
      </c>
      <c r="R787" s="9">
        <f>D787*VLOOKUP(1001,적!$A$4:$D$13,3,FALSE)</f>
        <v>1002752.45046224</v>
      </c>
      <c r="S787" s="9">
        <f>D787*VLOOKUP(F787,보스!$A$4:$E$5,4,FALSE)</f>
        <v>36099088.216640644</v>
      </c>
    </row>
    <row r="788" spans="1:19" ht="21.95" customHeight="1">
      <c r="A788" s="6">
        <v>5785</v>
      </c>
      <c r="B788" s="2" t="s">
        <v>936</v>
      </c>
      <c r="C788" s="6">
        <v>785</v>
      </c>
      <c r="D788" s="7">
        <v>503412.56048639998</v>
      </c>
      <c r="E788" s="2" t="s">
        <v>152</v>
      </c>
      <c r="F788" s="6">
        <v>2001</v>
      </c>
      <c r="G788" s="6">
        <v>5</v>
      </c>
      <c r="H788" s="7">
        <v>30</v>
      </c>
      <c r="I788" s="6">
        <v>5</v>
      </c>
      <c r="J788" s="6">
        <v>2</v>
      </c>
      <c r="K788" s="6">
        <v>1</v>
      </c>
      <c r="L788" s="6">
        <v>15</v>
      </c>
      <c r="M788" s="6">
        <v>315782</v>
      </c>
      <c r="N788" s="6">
        <v>6315640</v>
      </c>
      <c r="O788" s="6">
        <v>83</v>
      </c>
      <c r="P788" s="7">
        <v>8968.5558000000001</v>
      </c>
      <c r="Q788" s="7">
        <v>37710.619500000001</v>
      </c>
      <c r="R788" s="9">
        <f>D788*VLOOKUP(1001,적!$A$4:$D$13,3,FALSE)</f>
        <v>1006825.1209728</v>
      </c>
      <c r="S788" s="9">
        <f>D788*VLOOKUP(F788,보스!$A$4:$E$5,4,FALSE)</f>
        <v>36245704.355020799</v>
      </c>
    </row>
    <row r="789" spans="1:19" ht="21.95" customHeight="1">
      <c r="A789" s="6">
        <v>5786</v>
      </c>
      <c r="B789" s="2" t="s">
        <v>937</v>
      </c>
      <c r="C789" s="6">
        <v>786</v>
      </c>
      <c r="D789" s="7">
        <v>505455.32465600001</v>
      </c>
      <c r="E789" s="2" t="s">
        <v>152</v>
      </c>
      <c r="F789" s="6">
        <v>2002</v>
      </c>
      <c r="G789" s="6">
        <v>5</v>
      </c>
      <c r="H789" s="7">
        <v>30</v>
      </c>
      <c r="I789" s="6">
        <v>5</v>
      </c>
      <c r="J789" s="6">
        <v>2</v>
      </c>
      <c r="K789" s="6">
        <v>1</v>
      </c>
      <c r="L789" s="6">
        <v>15</v>
      </c>
      <c r="M789" s="6">
        <v>316188</v>
      </c>
      <c r="N789" s="6">
        <v>6323760</v>
      </c>
      <c r="O789" s="6">
        <v>83</v>
      </c>
      <c r="P789" s="7">
        <v>8989.6651999999995</v>
      </c>
      <c r="Q789" s="7">
        <v>37799.377</v>
      </c>
      <c r="R789" s="9">
        <f>D789*VLOOKUP(1001,적!$A$4:$D$13,3,FALSE)</f>
        <v>1010910.649312</v>
      </c>
      <c r="S789" s="9">
        <f>D789*VLOOKUP(F789,보스!$A$4:$E$5,4,FALSE)</f>
        <v>36392783.375232004</v>
      </c>
    </row>
    <row r="790" spans="1:19" ht="21.95" customHeight="1">
      <c r="A790" s="6">
        <v>5787</v>
      </c>
      <c r="B790" s="2" t="s">
        <v>938</v>
      </c>
      <c r="C790" s="6">
        <v>787</v>
      </c>
      <c r="D790" s="7">
        <v>507504.53209455998</v>
      </c>
      <c r="E790" s="2" t="s">
        <v>152</v>
      </c>
      <c r="F790" s="6">
        <v>2001</v>
      </c>
      <c r="G790" s="6">
        <v>5</v>
      </c>
      <c r="H790" s="7">
        <v>30</v>
      </c>
      <c r="I790" s="6">
        <v>5</v>
      </c>
      <c r="J790" s="6">
        <v>2</v>
      </c>
      <c r="K790" s="6">
        <v>1</v>
      </c>
      <c r="L790" s="6">
        <v>15</v>
      </c>
      <c r="M790" s="6">
        <v>316594</v>
      </c>
      <c r="N790" s="6">
        <v>6331880</v>
      </c>
      <c r="O790" s="6">
        <v>83</v>
      </c>
      <c r="P790" s="7">
        <v>9010.7992400000003</v>
      </c>
      <c r="Q790" s="7">
        <v>37888.238100000002</v>
      </c>
      <c r="R790" s="9">
        <f>D790*VLOOKUP(1001,적!$A$4:$D$13,3,FALSE)</f>
        <v>1015009.06418912</v>
      </c>
      <c r="S790" s="9">
        <f>D790*VLOOKUP(F790,보스!$A$4:$E$5,4,FALSE)</f>
        <v>36540326.310808316</v>
      </c>
    </row>
    <row r="791" spans="1:19" ht="21.95" customHeight="1">
      <c r="A791" s="6">
        <v>5788</v>
      </c>
      <c r="B791" s="2" t="s">
        <v>939</v>
      </c>
      <c r="C791" s="6">
        <v>788</v>
      </c>
      <c r="D791" s="7">
        <v>509560.19717399997</v>
      </c>
      <c r="E791" s="2" t="s">
        <v>152</v>
      </c>
      <c r="F791" s="6">
        <v>2002</v>
      </c>
      <c r="G791" s="6">
        <v>5</v>
      </c>
      <c r="H791" s="7">
        <v>30</v>
      </c>
      <c r="I791" s="6">
        <v>5</v>
      </c>
      <c r="J791" s="6">
        <v>2</v>
      </c>
      <c r="K791" s="6">
        <v>1</v>
      </c>
      <c r="L791" s="6">
        <v>15</v>
      </c>
      <c r="M791" s="6">
        <v>317000</v>
      </c>
      <c r="N791" s="6">
        <v>6340000</v>
      </c>
      <c r="O791" s="6">
        <v>83</v>
      </c>
      <c r="P791" s="7">
        <v>9031.9579200000007</v>
      </c>
      <c r="Q791" s="7">
        <v>37977.202799999999</v>
      </c>
      <c r="R791" s="9">
        <f>D791*VLOOKUP(1001,적!$A$4:$D$13,3,FALSE)</f>
        <v>1019120.3943479999</v>
      </c>
      <c r="S791" s="9">
        <f>D791*VLOOKUP(F791,보스!$A$4:$E$5,4,FALSE)</f>
        <v>36688334.196527995</v>
      </c>
    </row>
    <row r="792" spans="1:19" ht="21.95" customHeight="1">
      <c r="A792" s="6">
        <v>5789</v>
      </c>
      <c r="B792" s="2" t="s">
        <v>940</v>
      </c>
      <c r="C792" s="6">
        <v>789</v>
      </c>
      <c r="D792" s="7">
        <v>511622.33428352</v>
      </c>
      <c r="E792" s="2" t="s">
        <v>152</v>
      </c>
      <c r="F792" s="6">
        <v>2001</v>
      </c>
      <c r="G792" s="6">
        <v>5</v>
      </c>
      <c r="H792" s="7">
        <v>30</v>
      </c>
      <c r="I792" s="6">
        <v>5</v>
      </c>
      <c r="J792" s="6">
        <v>2</v>
      </c>
      <c r="K792" s="6">
        <v>1</v>
      </c>
      <c r="L792" s="6">
        <v>15</v>
      </c>
      <c r="M792" s="6">
        <v>317406</v>
      </c>
      <c r="N792" s="6">
        <v>6348120</v>
      </c>
      <c r="O792" s="6">
        <v>83</v>
      </c>
      <c r="P792" s="7">
        <v>9053.1412400000008</v>
      </c>
      <c r="Q792" s="7">
        <v>38066.271099999998</v>
      </c>
      <c r="R792" s="9">
        <f>D792*VLOOKUP(1001,적!$A$4:$D$13,3,FALSE)</f>
        <v>1023244.66856704</v>
      </c>
      <c r="S792" s="9">
        <f>D792*VLOOKUP(F792,보스!$A$4:$E$5,4,FALSE)</f>
        <v>36836808.068413436</v>
      </c>
    </row>
    <row r="793" spans="1:19" ht="21.95" customHeight="1">
      <c r="A793" s="6">
        <v>5790</v>
      </c>
      <c r="B793" s="2" t="s">
        <v>941</v>
      </c>
      <c r="C793" s="6">
        <v>790</v>
      </c>
      <c r="D793" s="7">
        <v>513690.95782960003</v>
      </c>
      <c r="E793" s="2" t="s">
        <v>152</v>
      </c>
      <c r="F793" s="6">
        <v>2002</v>
      </c>
      <c r="G793" s="6">
        <v>5</v>
      </c>
      <c r="H793" s="7">
        <v>30</v>
      </c>
      <c r="I793" s="6">
        <v>5</v>
      </c>
      <c r="J793" s="6">
        <v>2</v>
      </c>
      <c r="K793" s="6">
        <v>1</v>
      </c>
      <c r="L793" s="6">
        <v>15</v>
      </c>
      <c r="M793" s="6">
        <v>317812</v>
      </c>
      <c r="N793" s="6">
        <v>6356240</v>
      </c>
      <c r="O793" s="6">
        <v>84</v>
      </c>
      <c r="P793" s="7">
        <v>9074.3492000000006</v>
      </c>
      <c r="Q793" s="7">
        <v>38155.442999999999</v>
      </c>
      <c r="R793" s="9">
        <f>D793*VLOOKUP(1001,적!$A$4:$D$13,3,FALSE)</f>
        <v>1027381.9156592001</v>
      </c>
      <c r="S793" s="9">
        <f>D793*VLOOKUP(F793,보스!$A$4:$E$5,4,FALSE)</f>
        <v>36985748.9637312</v>
      </c>
    </row>
    <row r="794" spans="1:19" ht="21.95" customHeight="1">
      <c r="A794" s="6">
        <v>5791</v>
      </c>
      <c r="B794" s="2" t="s">
        <v>942</v>
      </c>
      <c r="C794" s="6">
        <v>791</v>
      </c>
      <c r="D794" s="7">
        <v>515766.08223599999</v>
      </c>
      <c r="E794" s="2" t="s">
        <v>152</v>
      </c>
      <c r="F794" s="6">
        <v>2001</v>
      </c>
      <c r="G794" s="6">
        <v>5</v>
      </c>
      <c r="H794" s="7">
        <v>30</v>
      </c>
      <c r="I794" s="6">
        <v>5</v>
      </c>
      <c r="J794" s="6">
        <v>2</v>
      </c>
      <c r="K794" s="6">
        <v>1</v>
      </c>
      <c r="L794" s="6">
        <v>15</v>
      </c>
      <c r="M794" s="6">
        <v>318218</v>
      </c>
      <c r="N794" s="6">
        <v>6364360</v>
      </c>
      <c r="O794" s="6">
        <v>84</v>
      </c>
      <c r="P794" s="7">
        <v>9095.5817999999999</v>
      </c>
      <c r="Q794" s="7">
        <v>38244.718500000003</v>
      </c>
      <c r="R794" s="9">
        <f>D794*VLOOKUP(1001,적!$A$4:$D$13,3,FALSE)</f>
        <v>1031532.164472</v>
      </c>
      <c r="S794" s="9">
        <f>D794*VLOOKUP(F794,보스!$A$4:$E$5,4,FALSE)</f>
        <v>37135157.920992002</v>
      </c>
    </row>
    <row r="795" spans="1:19" ht="21.95" customHeight="1">
      <c r="A795" s="6">
        <v>5792</v>
      </c>
      <c r="B795" s="2" t="s">
        <v>943</v>
      </c>
      <c r="C795" s="6">
        <v>792</v>
      </c>
      <c r="D795" s="7">
        <v>517847.72194376</v>
      </c>
      <c r="E795" s="2" t="s">
        <v>152</v>
      </c>
      <c r="F795" s="6">
        <v>2002</v>
      </c>
      <c r="G795" s="6">
        <v>5</v>
      </c>
      <c r="H795" s="7">
        <v>30</v>
      </c>
      <c r="I795" s="6">
        <v>5</v>
      </c>
      <c r="J795" s="6">
        <v>2</v>
      </c>
      <c r="K795" s="6">
        <v>1</v>
      </c>
      <c r="L795" s="6">
        <v>15</v>
      </c>
      <c r="M795" s="6">
        <v>318624</v>
      </c>
      <c r="N795" s="6">
        <v>6372480</v>
      </c>
      <c r="O795" s="6">
        <v>84</v>
      </c>
      <c r="P795" s="7">
        <v>9116.8390400000008</v>
      </c>
      <c r="Q795" s="7">
        <v>38334.097600000001</v>
      </c>
      <c r="R795" s="9">
        <f>D795*VLOOKUP(1001,적!$A$4:$D$13,3,FALSE)</f>
        <v>1035695.44388752</v>
      </c>
      <c r="S795" s="9">
        <f>D795*VLOOKUP(F795,보스!$A$4:$E$5,4,FALSE)</f>
        <v>37285035.979950719</v>
      </c>
    </row>
    <row r="796" spans="1:19" ht="21.95" customHeight="1">
      <c r="A796" s="6">
        <v>5793</v>
      </c>
      <c r="B796" s="2" t="s">
        <v>944</v>
      </c>
      <c r="C796" s="6">
        <v>793</v>
      </c>
      <c r="D796" s="7">
        <v>519935.89141119999</v>
      </c>
      <c r="E796" s="2" t="s">
        <v>152</v>
      </c>
      <c r="F796" s="6">
        <v>2001</v>
      </c>
      <c r="G796" s="6">
        <v>5</v>
      </c>
      <c r="H796" s="7">
        <v>30</v>
      </c>
      <c r="I796" s="6">
        <v>5</v>
      </c>
      <c r="J796" s="6">
        <v>2</v>
      </c>
      <c r="K796" s="6">
        <v>1</v>
      </c>
      <c r="L796" s="6">
        <v>15</v>
      </c>
      <c r="M796" s="6">
        <v>319030</v>
      </c>
      <c r="N796" s="6">
        <v>6380600</v>
      </c>
      <c r="O796" s="6">
        <v>84</v>
      </c>
      <c r="P796" s="7">
        <v>9138.1209199999994</v>
      </c>
      <c r="Q796" s="7">
        <v>38423.580300000001</v>
      </c>
      <c r="R796" s="9">
        <f>D796*VLOOKUP(1001,적!$A$4:$D$13,3,FALSE)</f>
        <v>1039871.7828224</v>
      </c>
      <c r="S796" s="9">
        <f>D796*VLOOKUP(F796,보스!$A$4:$E$5,4,FALSE)</f>
        <v>37435384.181606397</v>
      </c>
    </row>
    <row r="797" spans="1:19" ht="21.95" customHeight="1">
      <c r="A797" s="6">
        <v>5794</v>
      </c>
      <c r="B797" s="2" t="s">
        <v>945</v>
      </c>
      <c r="C797" s="6">
        <v>794</v>
      </c>
      <c r="D797" s="7">
        <v>522030.60511392</v>
      </c>
      <c r="E797" s="2" t="s">
        <v>152</v>
      </c>
      <c r="F797" s="6">
        <v>2002</v>
      </c>
      <c r="G797" s="6">
        <v>5</v>
      </c>
      <c r="H797" s="7">
        <v>30</v>
      </c>
      <c r="I797" s="6">
        <v>5</v>
      </c>
      <c r="J797" s="6">
        <v>2</v>
      </c>
      <c r="K797" s="6">
        <v>1</v>
      </c>
      <c r="L797" s="6">
        <v>15</v>
      </c>
      <c r="M797" s="6">
        <v>319436</v>
      </c>
      <c r="N797" s="6">
        <v>6388720</v>
      </c>
      <c r="O797" s="6">
        <v>84</v>
      </c>
      <c r="P797" s="7">
        <v>9159.4274399999995</v>
      </c>
      <c r="Q797" s="7">
        <v>38513.166599999997</v>
      </c>
      <c r="R797" s="9">
        <f>D797*VLOOKUP(1001,적!$A$4:$D$13,3,FALSE)</f>
        <v>1044061.21022784</v>
      </c>
      <c r="S797" s="9">
        <f>D797*VLOOKUP(F797,보스!$A$4:$E$5,4,FALSE)</f>
        <v>37586203.568202242</v>
      </c>
    </row>
    <row r="798" spans="1:19" ht="21.95" customHeight="1">
      <c r="A798" s="6">
        <v>5795</v>
      </c>
      <c r="B798" s="2" t="s">
        <v>946</v>
      </c>
      <c r="C798" s="6">
        <v>795</v>
      </c>
      <c r="D798" s="7">
        <v>524131.87754479999</v>
      </c>
      <c r="E798" s="2" t="s">
        <v>152</v>
      </c>
      <c r="F798" s="6">
        <v>2001</v>
      </c>
      <c r="G798" s="6">
        <v>5</v>
      </c>
      <c r="H798" s="7">
        <v>30</v>
      </c>
      <c r="I798" s="6">
        <v>5</v>
      </c>
      <c r="J798" s="6">
        <v>2</v>
      </c>
      <c r="K798" s="6">
        <v>1</v>
      </c>
      <c r="L798" s="6">
        <v>15</v>
      </c>
      <c r="M798" s="6">
        <v>319842</v>
      </c>
      <c r="N798" s="6">
        <v>6396840</v>
      </c>
      <c r="O798" s="6">
        <v>84</v>
      </c>
      <c r="P798" s="7">
        <v>9180.7585999999992</v>
      </c>
      <c r="Q798" s="7">
        <v>38602.856500000002</v>
      </c>
      <c r="R798" s="9">
        <f>D798*VLOOKUP(1001,적!$A$4:$D$13,3,FALSE)</f>
        <v>1048263.7550896</v>
      </c>
      <c r="S798" s="9">
        <f>D798*VLOOKUP(F798,보스!$A$4:$E$5,4,FALSE)</f>
        <v>37737495.183225602</v>
      </c>
    </row>
    <row r="799" spans="1:19" ht="21.95" customHeight="1">
      <c r="A799" s="6">
        <v>5796</v>
      </c>
      <c r="B799" s="2" t="s">
        <v>947</v>
      </c>
      <c r="C799" s="6">
        <v>796</v>
      </c>
      <c r="D799" s="7">
        <v>526239.723214</v>
      </c>
      <c r="E799" s="2" t="s">
        <v>152</v>
      </c>
      <c r="F799" s="6">
        <v>2002</v>
      </c>
      <c r="G799" s="6">
        <v>5</v>
      </c>
      <c r="H799" s="7">
        <v>30</v>
      </c>
      <c r="I799" s="6">
        <v>5</v>
      </c>
      <c r="J799" s="6">
        <v>2</v>
      </c>
      <c r="K799" s="6">
        <v>1</v>
      </c>
      <c r="L799" s="6">
        <v>15</v>
      </c>
      <c r="M799" s="6">
        <v>320248</v>
      </c>
      <c r="N799" s="6">
        <v>6404960</v>
      </c>
      <c r="O799" s="6">
        <v>84</v>
      </c>
      <c r="P799" s="7">
        <v>9202.1144000000004</v>
      </c>
      <c r="Q799" s="7">
        <v>38692.65</v>
      </c>
      <c r="R799" s="9">
        <f>D799*VLOOKUP(1001,적!$A$4:$D$13,3,FALSE)</f>
        <v>1052479.446428</v>
      </c>
      <c r="S799" s="9">
        <f>D799*VLOOKUP(F799,보스!$A$4:$E$5,4,FALSE)</f>
        <v>37889260.071408004</v>
      </c>
    </row>
    <row r="800" spans="1:19" ht="21.95" customHeight="1">
      <c r="A800" s="6">
        <v>5797</v>
      </c>
      <c r="B800" s="2" t="s">
        <v>948</v>
      </c>
      <c r="C800" s="6">
        <v>797</v>
      </c>
      <c r="D800" s="7">
        <v>528354.15664895996</v>
      </c>
      <c r="E800" s="2" t="s">
        <v>152</v>
      </c>
      <c r="F800" s="6">
        <v>2001</v>
      </c>
      <c r="G800" s="6">
        <v>5</v>
      </c>
      <c r="H800" s="7">
        <v>30</v>
      </c>
      <c r="I800" s="6">
        <v>5</v>
      </c>
      <c r="J800" s="6">
        <v>2</v>
      </c>
      <c r="K800" s="6">
        <v>1</v>
      </c>
      <c r="L800" s="6">
        <v>15</v>
      </c>
      <c r="M800" s="6">
        <v>320654</v>
      </c>
      <c r="N800" s="6">
        <v>6413080</v>
      </c>
      <c r="O800" s="6">
        <v>84</v>
      </c>
      <c r="P800" s="7">
        <v>9223.4948399999994</v>
      </c>
      <c r="Q800" s="7">
        <v>38782.547100000003</v>
      </c>
      <c r="R800" s="9">
        <f>D800*VLOOKUP(1001,적!$A$4:$D$13,3,FALSE)</f>
        <v>1056708.3132979199</v>
      </c>
      <c r="S800" s="9">
        <f>D800*VLOOKUP(F800,보스!$A$4:$E$5,4,FALSE)</f>
        <v>38041499.278725117</v>
      </c>
    </row>
    <row r="801" spans="1:19" ht="21.95" customHeight="1">
      <c r="A801" s="6">
        <v>5798</v>
      </c>
      <c r="B801" s="2" t="s">
        <v>949</v>
      </c>
      <c r="C801" s="6">
        <v>798</v>
      </c>
      <c r="D801" s="7">
        <v>530475.19239440002</v>
      </c>
      <c r="E801" s="2" t="s">
        <v>152</v>
      </c>
      <c r="F801" s="6">
        <v>2002</v>
      </c>
      <c r="G801" s="6">
        <v>5</v>
      </c>
      <c r="H801" s="7">
        <v>30</v>
      </c>
      <c r="I801" s="6">
        <v>5</v>
      </c>
      <c r="J801" s="6">
        <v>2</v>
      </c>
      <c r="K801" s="6">
        <v>1</v>
      </c>
      <c r="L801" s="6">
        <v>15</v>
      </c>
      <c r="M801" s="6">
        <v>321060</v>
      </c>
      <c r="N801" s="6">
        <v>6421200</v>
      </c>
      <c r="O801" s="6">
        <v>84</v>
      </c>
      <c r="P801" s="7">
        <v>9244.8999199999998</v>
      </c>
      <c r="Q801" s="7">
        <v>38872.5478</v>
      </c>
      <c r="R801" s="9">
        <f>D801*VLOOKUP(1001,적!$A$4:$D$13,3,FALSE)</f>
        <v>1060950.3847888</v>
      </c>
      <c r="S801" s="9">
        <f>D801*VLOOKUP(F801,보스!$A$4:$E$5,4,FALSE)</f>
        <v>38194213.852396801</v>
      </c>
    </row>
    <row r="802" spans="1:19" ht="21.95" customHeight="1">
      <c r="A802" s="6">
        <v>5799</v>
      </c>
      <c r="B802" s="2" t="s">
        <v>950</v>
      </c>
      <c r="C802" s="6">
        <v>799</v>
      </c>
      <c r="D802" s="7">
        <v>532602.84501231997</v>
      </c>
      <c r="E802" s="2" t="s">
        <v>152</v>
      </c>
      <c r="F802" s="6">
        <v>2001</v>
      </c>
      <c r="G802" s="6">
        <v>5</v>
      </c>
      <c r="H802" s="7">
        <v>30</v>
      </c>
      <c r="I802" s="6">
        <v>5</v>
      </c>
      <c r="J802" s="6">
        <v>2</v>
      </c>
      <c r="K802" s="6">
        <v>1</v>
      </c>
      <c r="L802" s="6">
        <v>15</v>
      </c>
      <c r="M802" s="6">
        <v>321466</v>
      </c>
      <c r="N802" s="6">
        <v>6429320</v>
      </c>
      <c r="O802" s="6">
        <v>84</v>
      </c>
      <c r="P802" s="7">
        <v>9266.3296399999999</v>
      </c>
      <c r="Q802" s="7">
        <v>38962.652099999999</v>
      </c>
      <c r="R802" s="9">
        <f>D802*VLOOKUP(1001,적!$A$4:$D$13,3,FALSE)</f>
        <v>1065205.6900246399</v>
      </c>
      <c r="S802" s="9">
        <f>D802*VLOOKUP(F802,보스!$A$4:$E$5,4,FALSE)</f>
        <v>38347404.84088704</v>
      </c>
    </row>
    <row r="803" spans="1:19" ht="21.95" customHeight="1">
      <c r="A803" s="6">
        <v>5800</v>
      </c>
      <c r="B803" s="2" t="s">
        <v>951</v>
      </c>
      <c r="C803" s="6">
        <v>800</v>
      </c>
      <c r="D803" s="7">
        <v>534737.129082</v>
      </c>
      <c r="E803" s="2" t="s">
        <v>152</v>
      </c>
      <c r="F803" s="6">
        <v>2002</v>
      </c>
      <c r="G803" s="6">
        <v>5</v>
      </c>
      <c r="H803" s="7">
        <v>30</v>
      </c>
      <c r="I803" s="6">
        <v>5</v>
      </c>
      <c r="J803" s="6">
        <v>2</v>
      </c>
      <c r="K803" s="6">
        <v>1</v>
      </c>
      <c r="L803" s="6">
        <v>15</v>
      </c>
      <c r="M803" s="6">
        <v>321872</v>
      </c>
      <c r="N803" s="6">
        <v>6437440</v>
      </c>
      <c r="O803" s="6">
        <v>85</v>
      </c>
      <c r="P803" s="7">
        <v>9287.7839999999997</v>
      </c>
      <c r="Q803" s="7">
        <v>39052.86</v>
      </c>
      <c r="R803" s="9">
        <f>D803*VLOOKUP(1001,적!$A$4:$D$13,3,FALSE)</f>
        <v>1069474.258164</v>
      </c>
      <c r="S803" s="9">
        <f>D803*VLOOKUP(F803,보스!$A$4:$E$5,4,FALSE)</f>
        <v>38501073.293903999</v>
      </c>
    </row>
    <row r="804" spans="1:19" ht="21.95" customHeight="1">
      <c r="A804" s="6">
        <v>5801</v>
      </c>
      <c r="B804" s="2" t="s">
        <v>952</v>
      </c>
      <c r="C804" s="6">
        <v>801</v>
      </c>
      <c r="D804" s="7">
        <v>536878.05920000002</v>
      </c>
      <c r="E804" s="2" t="s">
        <v>152</v>
      </c>
      <c r="F804" s="6">
        <v>2001</v>
      </c>
      <c r="G804" s="6">
        <v>5</v>
      </c>
      <c r="H804" s="7">
        <v>30</v>
      </c>
      <c r="I804" s="6">
        <v>5</v>
      </c>
      <c r="J804" s="6">
        <v>2</v>
      </c>
      <c r="K804" s="6">
        <v>1</v>
      </c>
      <c r="L804" s="6">
        <v>15</v>
      </c>
      <c r="M804" s="6">
        <v>322278</v>
      </c>
      <c r="N804" s="6">
        <v>6445560</v>
      </c>
      <c r="O804" s="6">
        <v>85</v>
      </c>
      <c r="P804" s="7">
        <v>9309.2630000000008</v>
      </c>
      <c r="Q804" s="7">
        <v>39143.171499999997</v>
      </c>
      <c r="R804" s="9">
        <f>D804*VLOOKUP(1001,적!$A$4:$D$13,3,FALSE)</f>
        <v>1073756.1184</v>
      </c>
      <c r="S804" s="9">
        <f>D804*VLOOKUP(F804,보스!$A$4:$E$5,4,FALSE)</f>
        <v>38655220.262400001</v>
      </c>
    </row>
    <row r="805" spans="1:19" ht="21.95" customHeight="1">
      <c r="A805" s="6">
        <v>5802</v>
      </c>
      <c r="B805" s="2" t="s">
        <v>953</v>
      </c>
      <c r="C805" s="6">
        <v>802</v>
      </c>
      <c r="D805" s="7">
        <v>539025.64998015994</v>
      </c>
      <c r="E805" s="2" t="s">
        <v>152</v>
      </c>
      <c r="F805" s="6">
        <v>2002</v>
      </c>
      <c r="G805" s="6">
        <v>5</v>
      </c>
      <c r="H805" s="7">
        <v>30</v>
      </c>
      <c r="I805" s="6">
        <v>5</v>
      </c>
      <c r="J805" s="6">
        <v>2</v>
      </c>
      <c r="K805" s="6">
        <v>1</v>
      </c>
      <c r="L805" s="6">
        <v>15</v>
      </c>
      <c r="M805" s="6">
        <v>322684</v>
      </c>
      <c r="N805" s="6">
        <v>6453680</v>
      </c>
      <c r="O805" s="6">
        <v>85</v>
      </c>
      <c r="P805" s="7">
        <v>9330.7666399999998</v>
      </c>
      <c r="Q805" s="7">
        <v>39233.586600000002</v>
      </c>
      <c r="R805" s="9">
        <f>D805*VLOOKUP(1001,적!$A$4:$D$13,3,FALSE)</f>
        <v>1078051.2999603199</v>
      </c>
      <c r="S805" s="9">
        <f>D805*VLOOKUP(F805,보스!$A$4:$E$5,4,FALSE)</f>
        <v>38809846.798571512</v>
      </c>
    </row>
    <row r="806" spans="1:19" ht="21.95" customHeight="1">
      <c r="A806" s="6">
        <v>5803</v>
      </c>
      <c r="B806" s="2" t="s">
        <v>954</v>
      </c>
      <c r="C806" s="6">
        <v>803</v>
      </c>
      <c r="D806" s="7">
        <v>541179.91605360003</v>
      </c>
      <c r="E806" s="2" t="s">
        <v>152</v>
      </c>
      <c r="F806" s="6">
        <v>2001</v>
      </c>
      <c r="G806" s="6">
        <v>5</v>
      </c>
      <c r="H806" s="7">
        <v>30</v>
      </c>
      <c r="I806" s="6">
        <v>5</v>
      </c>
      <c r="J806" s="6">
        <v>2</v>
      </c>
      <c r="K806" s="6">
        <v>1</v>
      </c>
      <c r="L806" s="6">
        <v>15</v>
      </c>
      <c r="M806" s="6">
        <v>323090</v>
      </c>
      <c r="N806" s="6">
        <v>6461800</v>
      </c>
      <c r="O806" s="6">
        <v>85</v>
      </c>
      <c r="P806" s="7">
        <v>9352.2949200000003</v>
      </c>
      <c r="Q806" s="7">
        <v>39324.105300000003</v>
      </c>
      <c r="R806" s="9">
        <f>D806*VLOOKUP(1001,적!$A$4:$D$13,3,FALSE)</f>
        <v>1082359.8321072001</v>
      </c>
      <c r="S806" s="9">
        <f>D806*VLOOKUP(F806,보스!$A$4:$E$5,4,FALSE)</f>
        <v>38964953.955859199</v>
      </c>
    </row>
    <row r="807" spans="1:19" ht="21.95" customHeight="1">
      <c r="A807" s="6">
        <v>5804</v>
      </c>
      <c r="B807" s="2" t="s">
        <v>955</v>
      </c>
      <c r="C807" s="6">
        <v>804</v>
      </c>
      <c r="D807" s="7">
        <v>543340.87206872005</v>
      </c>
      <c r="E807" s="2" t="s">
        <v>152</v>
      </c>
      <c r="F807" s="6">
        <v>2002</v>
      </c>
      <c r="G807" s="6">
        <v>5</v>
      </c>
      <c r="H807" s="7">
        <v>30</v>
      </c>
      <c r="I807" s="6">
        <v>5</v>
      </c>
      <c r="J807" s="6">
        <v>2</v>
      </c>
      <c r="K807" s="6">
        <v>1</v>
      </c>
      <c r="L807" s="6">
        <v>15</v>
      </c>
      <c r="M807" s="6">
        <v>323496</v>
      </c>
      <c r="N807" s="6">
        <v>6469920</v>
      </c>
      <c r="O807" s="6">
        <v>85</v>
      </c>
      <c r="P807" s="7">
        <v>9373.8478400000004</v>
      </c>
      <c r="Q807" s="7">
        <v>39414.727599999998</v>
      </c>
      <c r="R807" s="9">
        <f>D807*VLOOKUP(1001,적!$A$4:$D$13,3,FALSE)</f>
        <v>1086681.7441374401</v>
      </c>
      <c r="S807" s="9">
        <f>D807*VLOOKUP(F807,보스!$A$4:$E$5,4,FALSE)</f>
        <v>39120542.788947843</v>
      </c>
    </row>
    <row r="808" spans="1:19" ht="21.95" customHeight="1">
      <c r="A808" s="6">
        <v>5805</v>
      </c>
      <c r="B808" s="2" t="s">
        <v>956</v>
      </c>
      <c r="C808" s="6">
        <v>805</v>
      </c>
      <c r="D808" s="7">
        <v>545508.53269120003</v>
      </c>
      <c r="E808" s="2" t="s">
        <v>152</v>
      </c>
      <c r="F808" s="6">
        <v>2001</v>
      </c>
      <c r="G808" s="6">
        <v>5</v>
      </c>
      <c r="H808" s="7">
        <v>30</v>
      </c>
      <c r="I808" s="6">
        <v>5</v>
      </c>
      <c r="J808" s="6">
        <v>2</v>
      </c>
      <c r="K808" s="6">
        <v>1</v>
      </c>
      <c r="L808" s="6">
        <v>15</v>
      </c>
      <c r="M808" s="6">
        <v>323902</v>
      </c>
      <c r="N808" s="6">
        <v>6478040</v>
      </c>
      <c r="O808" s="6">
        <v>85</v>
      </c>
      <c r="P808" s="7">
        <v>9395.4254000000001</v>
      </c>
      <c r="Q808" s="7">
        <v>39505.453500000003</v>
      </c>
      <c r="R808" s="9">
        <f>D808*VLOOKUP(1001,적!$A$4:$D$13,3,FALSE)</f>
        <v>1091017.0653824001</v>
      </c>
      <c r="S808" s="9">
        <f>D808*VLOOKUP(F808,보스!$A$4:$E$5,4,FALSE)</f>
        <v>39276614.353766404</v>
      </c>
    </row>
    <row r="809" spans="1:19" ht="21.95" customHeight="1">
      <c r="A809" s="6">
        <v>5806</v>
      </c>
      <c r="B809" s="2" t="s">
        <v>957</v>
      </c>
      <c r="C809" s="6">
        <v>806</v>
      </c>
      <c r="D809" s="7">
        <v>547682.91260399995</v>
      </c>
      <c r="E809" s="2" t="s">
        <v>152</v>
      </c>
      <c r="F809" s="6">
        <v>2002</v>
      </c>
      <c r="G809" s="6">
        <v>5</v>
      </c>
      <c r="H809" s="7">
        <v>30</v>
      </c>
      <c r="I809" s="6">
        <v>5</v>
      </c>
      <c r="J809" s="6">
        <v>2</v>
      </c>
      <c r="K809" s="6">
        <v>1</v>
      </c>
      <c r="L809" s="6">
        <v>15</v>
      </c>
      <c r="M809" s="6">
        <v>324308</v>
      </c>
      <c r="N809" s="6">
        <v>6486160</v>
      </c>
      <c r="O809" s="6">
        <v>85</v>
      </c>
      <c r="P809" s="7">
        <v>9417.0275999999994</v>
      </c>
      <c r="Q809" s="7">
        <v>39596.283000000003</v>
      </c>
      <c r="R809" s="9">
        <f>D809*VLOOKUP(1001,적!$A$4:$D$13,3,FALSE)</f>
        <v>1095365.8252079999</v>
      </c>
      <c r="S809" s="9">
        <f>D809*VLOOKUP(F809,보스!$A$4:$E$5,4,FALSE)</f>
        <v>39433169.707488</v>
      </c>
    </row>
    <row r="810" spans="1:19" ht="21.95" customHeight="1">
      <c r="A810" s="6">
        <v>5807</v>
      </c>
      <c r="B810" s="2" t="s">
        <v>958</v>
      </c>
      <c r="C810" s="6">
        <v>807</v>
      </c>
      <c r="D810" s="7">
        <v>549864.02650736005</v>
      </c>
      <c r="E810" s="2" t="s">
        <v>152</v>
      </c>
      <c r="F810" s="6">
        <v>2001</v>
      </c>
      <c r="G810" s="6">
        <v>5</v>
      </c>
      <c r="H810" s="7">
        <v>30</v>
      </c>
      <c r="I810" s="6">
        <v>5</v>
      </c>
      <c r="J810" s="6">
        <v>2</v>
      </c>
      <c r="K810" s="6">
        <v>1</v>
      </c>
      <c r="L810" s="6">
        <v>15</v>
      </c>
      <c r="M810" s="6">
        <v>324714</v>
      </c>
      <c r="N810" s="6">
        <v>6494280</v>
      </c>
      <c r="O810" s="6">
        <v>85</v>
      </c>
      <c r="P810" s="7">
        <v>9438.6544400000002</v>
      </c>
      <c r="Q810" s="7">
        <v>39687.216099999998</v>
      </c>
      <c r="R810" s="9">
        <f>D810*VLOOKUP(1001,적!$A$4:$D$13,3,FALSE)</f>
        <v>1099728.0530147201</v>
      </c>
      <c r="S810" s="9">
        <f>D810*VLOOKUP(F810,보스!$A$4:$E$5,4,FALSE)</f>
        <v>39590209.908529922</v>
      </c>
    </row>
    <row r="811" spans="1:19" ht="21.95" customHeight="1">
      <c r="A811" s="6">
        <v>5808</v>
      </c>
      <c r="B811" s="2" t="s">
        <v>959</v>
      </c>
      <c r="C811" s="6">
        <v>808</v>
      </c>
      <c r="D811" s="7">
        <v>552051.88911880006</v>
      </c>
      <c r="E811" s="2" t="s">
        <v>152</v>
      </c>
      <c r="F811" s="6">
        <v>2002</v>
      </c>
      <c r="G811" s="6">
        <v>5</v>
      </c>
      <c r="H811" s="7">
        <v>30</v>
      </c>
      <c r="I811" s="6">
        <v>5</v>
      </c>
      <c r="J811" s="6">
        <v>2</v>
      </c>
      <c r="K811" s="6">
        <v>1</v>
      </c>
      <c r="L811" s="6">
        <v>15</v>
      </c>
      <c r="M811" s="6">
        <v>325120</v>
      </c>
      <c r="N811" s="6">
        <v>6502400</v>
      </c>
      <c r="O811" s="6">
        <v>85</v>
      </c>
      <c r="P811" s="7">
        <v>9460.3059200000007</v>
      </c>
      <c r="Q811" s="7">
        <v>39778.252800000002</v>
      </c>
      <c r="R811" s="9">
        <f>D811*VLOOKUP(1001,적!$A$4:$D$13,3,FALSE)</f>
        <v>1104103.7782376001</v>
      </c>
      <c r="S811" s="9">
        <f>D811*VLOOKUP(F811,보스!$A$4:$E$5,4,FALSE)</f>
        <v>39747736.016553603</v>
      </c>
    </row>
    <row r="812" spans="1:19" ht="21.95" customHeight="1">
      <c r="A812" s="6">
        <v>5809</v>
      </c>
      <c r="B812" s="2" t="s">
        <v>960</v>
      </c>
      <c r="C812" s="6">
        <v>809</v>
      </c>
      <c r="D812" s="7">
        <v>554246.51517311996</v>
      </c>
      <c r="E812" s="2" t="s">
        <v>152</v>
      </c>
      <c r="F812" s="6">
        <v>2001</v>
      </c>
      <c r="G812" s="6">
        <v>5</v>
      </c>
      <c r="H812" s="7">
        <v>30</v>
      </c>
      <c r="I812" s="6">
        <v>5</v>
      </c>
      <c r="J812" s="6">
        <v>2</v>
      </c>
      <c r="K812" s="6">
        <v>1</v>
      </c>
      <c r="L812" s="6">
        <v>15</v>
      </c>
      <c r="M812" s="6">
        <v>325526</v>
      </c>
      <c r="N812" s="6">
        <v>6510520</v>
      </c>
      <c r="O812" s="6">
        <v>85</v>
      </c>
      <c r="P812" s="7">
        <v>9481.9820400000008</v>
      </c>
      <c r="Q812" s="7">
        <v>39869.393100000001</v>
      </c>
      <c r="R812" s="9">
        <f>D812*VLOOKUP(1001,적!$A$4:$D$13,3,FALSE)</f>
        <v>1108493.0303462399</v>
      </c>
      <c r="S812" s="9">
        <f>D812*VLOOKUP(F812,보스!$A$4:$E$5,4,FALSE)</f>
        <v>39905749.092464641</v>
      </c>
    </row>
    <row r="813" spans="1:19" ht="21.95" customHeight="1">
      <c r="A813" s="6">
        <v>5810</v>
      </c>
      <c r="B813" s="2" t="s">
        <v>961</v>
      </c>
      <c r="C813" s="6">
        <v>810</v>
      </c>
      <c r="D813" s="7">
        <v>556447.91942239995</v>
      </c>
      <c r="E813" s="2" t="s">
        <v>152</v>
      </c>
      <c r="F813" s="6">
        <v>2002</v>
      </c>
      <c r="G813" s="6">
        <v>5</v>
      </c>
      <c r="H813" s="7">
        <v>30</v>
      </c>
      <c r="I813" s="6">
        <v>5</v>
      </c>
      <c r="J813" s="6">
        <v>2</v>
      </c>
      <c r="K813" s="6">
        <v>1</v>
      </c>
      <c r="L813" s="6">
        <v>15</v>
      </c>
      <c r="M813" s="6">
        <v>325932</v>
      </c>
      <c r="N813" s="6">
        <v>6518640</v>
      </c>
      <c r="O813" s="6">
        <v>86</v>
      </c>
      <c r="P813" s="7">
        <v>9503.6828000000005</v>
      </c>
      <c r="Q813" s="7">
        <v>39960.637000000002</v>
      </c>
      <c r="R813" s="9">
        <f>D813*VLOOKUP(1001,적!$A$4:$D$13,3,FALSE)</f>
        <v>1112895.8388447999</v>
      </c>
      <c r="S813" s="9">
        <f>D813*VLOOKUP(F813,보스!$A$4:$E$5,4,FALSE)</f>
        <v>40064250.198412798</v>
      </c>
    </row>
    <row r="814" spans="1:19" ht="21.95" customHeight="1">
      <c r="A814" s="6">
        <v>5811</v>
      </c>
      <c r="B814" s="2" t="s">
        <v>962</v>
      </c>
      <c r="C814" s="6">
        <v>811</v>
      </c>
      <c r="D814" s="7">
        <v>558656.11663599999</v>
      </c>
      <c r="E814" s="2" t="s">
        <v>152</v>
      </c>
      <c r="F814" s="6">
        <v>2001</v>
      </c>
      <c r="G814" s="6">
        <v>5</v>
      </c>
      <c r="H814" s="7">
        <v>30</v>
      </c>
      <c r="I814" s="6">
        <v>5</v>
      </c>
      <c r="J814" s="6">
        <v>2</v>
      </c>
      <c r="K814" s="6">
        <v>1</v>
      </c>
      <c r="L814" s="6">
        <v>15</v>
      </c>
      <c r="M814" s="6">
        <v>326338</v>
      </c>
      <c r="N814" s="6">
        <v>6526760</v>
      </c>
      <c r="O814" s="6">
        <v>86</v>
      </c>
      <c r="P814" s="7">
        <v>9525.4081999999999</v>
      </c>
      <c r="Q814" s="7">
        <v>40051.984499999999</v>
      </c>
      <c r="R814" s="9">
        <f>D814*VLOOKUP(1001,적!$A$4:$D$13,3,FALSE)</f>
        <v>1117312.233272</v>
      </c>
      <c r="S814" s="9">
        <f>D814*VLOOKUP(F814,보스!$A$4:$E$5,4,FALSE)</f>
        <v>40223240.397791997</v>
      </c>
    </row>
    <row r="815" spans="1:19" ht="21.95" customHeight="1">
      <c r="A815" s="6">
        <v>5812</v>
      </c>
      <c r="B815" s="2" t="s">
        <v>963</v>
      </c>
      <c r="C815" s="6">
        <v>812</v>
      </c>
      <c r="D815" s="7">
        <v>560871.12160056003</v>
      </c>
      <c r="E815" s="2" t="s">
        <v>152</v>
      </c>
      <c r="F815" s="6">
        <v>2002</v>
      </c>
      <c r="G815" s="6">
        <v>5</v>
      </c>
      <c r="H815" s="7">
        <v>30</v>
      </c>
      <c r="I815" s="6">
        <v>5</v>
      </c>
      <c r="J815" s="6">
        <v>2</v>
      </c>
      <c r="K815" s="6">
        <v>1</v>
      </c>
      <c r="L815" s="6">
        <v>15</v>
      </c>
      <c r="M815" s="6">
        <v>326744</v>
      </c>
      <c r="N815" s="6">
        <v>6534880</v>
      </c>
      <c r="O815" s="6">
        <v>86</v>
      </c>
      <c r="P815" s="7">
        <v>9547.1582400000007</v>
      </c>
      <c r="Q815" s="7">
        <v>40143.435599999997</v>
      </c>
      <c r="R815" s="9">
        <f>D815*VLOOKUP(1001,적!$A$4:$D$13,3,FALSE)</f>
        <v>1121742.2432011201</v>
      </c>
      <c r="S815" s="9">
        <f>D815*VLOOKUP(F815,보스!$A$4:$E$5,4,FALSE)</f>
        <v>40382720.755240321</v>
      </c>
    </row>
    <row r="816" spans="1:19" ht="21.95" customHeight="1">
      <c r="A816" s="6">
        <v>5813</v>
      </c>
      <c r="B816" s="2" t="s">
        <v>964</v>
      </c>
      <c r="C816" s="6">
        <v>813</v>
      </c>
      <c r="D816" s="7">
        <v>563092.94912</v>
      </c>
      <c r="E816" s="2" t="s">
        <v>152</v>
      </c>
      <c r="F816" s="6">
        <v>2001</v>
      </c>
      <c r="G816" s="6">
        <v>5</v>
      </c>
      <c r="H816" s="7">
        <v>30</v>
      </c>
      <c r="I816" s="6">
        <v>5</v>
      </c>
      <c r="J816" s="6">
        <v>2</v>
      </c>
      <c r="K816" s="6">
        <v>1</v>
      </c>
      <c r="L816" s="6">
        <v>15</v>
      </c>
      <c r="M816" s="6">
        <v>327150</v>
      </c>
      <c r="N816" s="6">
        <v>6543000</v>
      </c>
      <c r="O816" s="6">
        <v>86</v>
      </c>
      <c r="P816" s="7">
        <v>9568.9329199999993</v>
      </c>
      <c r="Q816" s="7">
        <v>40234.990299999998</v>
      </c>
      <c r="R816" s="9">
        <f>D816*VLOOKUP(1001,적!$A$4:$D$13,3,FALSE)</f>
        <v>1126185.89824</v>
      </c>
      <c r="S816" s="9">
        <f>D816*VLOOKUP(F816,보스!$A$4:$E$5,4,FALSE)</f>
        <v>40542692.33664</v>
      </c>
    </row>
    <row r="817" spans="1:19" ht="21.95" customHeight="1">
      <c r="A817" s="6">
        <v>5814</v>
      </c>
      <c r="B817" s="2" t="s">
        <v>965</v>
      </c>
      <c r="C817" s="6">
        <v>814</v>
      </c>
      <c r="D817" s="7">
        <v>565321.61401551997</v>
      </c>
      <c r="E817" s="2" t="s">
        <v>152</v>
      </c>
      <c r="F817" s="6">
        <v>2002</v>
      </c>
      <c r="G817" s="6">
        <v>5</v>
      </c>
      <c r="H817" s="7">
        <v>30</v>
      </c>
      <c r="I817" s="6">
        <v>5</v>
      </c>
      <c r="J817" s="6">
        <v>2</v>
      </c>
      <c r="K817" s="6">
        <v>1</v>
      </c>
      <c r="L817" s="6">
        <v>15</v>
      </c>
      <c r="M817" s="6">
        <v>327556</v>
      </c>
      <c r="N817" s="6">
        <v>6551120</v>
      </c>
      <c r="O817" s="6">
        <v>86</v>
      </c>
      <c r="P817" s="7">
        <v>9590.7322399999994</v>
      </c>
      <c r="Q817" s="7">
        <v>40326.6486</v>
      </c>
      <c r="R817" s="9">
        <f>D817*VLOOKUP(1001,적!$A$4:$D$13,3,FALSE)</f>
        <v>1130643.2280310399</v>
      </c>
      <c r="S817" s="9">
        <f>D817*VLOOKUP(F817,보스!$A$4:$E$5,4,FALSE)</f>
        <v>40703156.209117435</v>
      </c>
    </row>
    <row r="818" spans="1:19" ht="21.95" customHeight="1">
      <c r="A818" s="6">
        <v>5815</v>
      </c>
      <c r="B818" s="2" t="s">
        <v>966</v>
      </c>
      <c r="C818" s="6">
        <v>815</v>
      </c>
      <c r="D818" s="7">
        <v>567557.13112559996</v>
      </c>
      <c r="E818" s="2" t="s">
        <v>152</v>
      </c>
      <c r="F818" s="6">
        <v>2001</v>
      </c>
      <c r="G818" s="6">
        <v>5</v>
      </c>
      <c r="H818" s="7">
        <v>30</v>
      </c>
      <c r="I818" s="6">
        <v>5</v>
      </c>
      <c r="J818" s="6">
        <v>2</v>
      </c>
      <c r="K818" s="6">
        <v>1</v>
      </c>
      <c r="L818" s="6">
        <v>15</v>
      </c>
      <c r="M818" s="6">
        <v>327962</v>
      </c>
      <c r="N818" s="6">
        <v>6559240</v>
      </c>
      <c r="O818" s="6">
        <v>86</v>
      </c>
      <c r="P818" s="7">
        <v>9612.5562000000009</v>
      </c>
      <c r="Q818" s="7">
        <v>40418.410499999998</v>
      </c>
      <c r="R818" s="9">
        <f>D818*VLOOKUP(1001,적!$A$4:$D$13,3,FALSE)</f>
        <v>1135114.2622511999</v>
      </c>
      <c r="S818" s="9">
        <f>D818*VLOOKUP(F818,보스!$A$4:$E$5,4,FALSE)</f>
        <v>40864113.441043198</v>
      </c>
    </row>
    <row r="819" spans="1:19" ht="21.95" customHeight="1">
      <c r="A819" s="6">
        <v>5816</v>
      </c>
      <c r="B819" s="2" t="s">
        <v>967</v>
      </c>
      <c r="C819" s="6">
        <v>816</v>
      </c>
      <c r="D819" s="7">
        <v>569799.51530600002</v>
      </c>
      <c r="E819" s="2" t="s">
        <v>152</v>
      </c>
      <c r="F819" s="6">
        <v>2002</v>
      </c>
      <c r="G819" s="6">
        <v>5</v>
      </c>
      <c r="H819" s="7">
        <v>30</v>
      </c>
      <c r="I819" s="6">
        <v>5</v>
      </c>
      <c r="J819" s="6">
        <v>2</v>
      </c>
      <c r="K819" s="6">
        <v>1</v>
      </c>
      <c r="L819" s="6">
        <v>15</v>
      </c>
      <c r="M819" s="6">
        <v>328368</v>
      </c>
      <c r="N819" s="6">
        <v>6567360</v>
      </c>
      <c r="O819" s="6">
        <v>86</v>
      </c>
      <c r="P819" s="7">
        <v>9634.4048000000003</v>
      </c>
      <c r="Q819" s="7">
        <v>40510.275999999998</v>
      </c>
      <c r="R819" s="9">
        <f>D819*VLOOKUP(1001,적!$A$4:$D$13,3,FALSE)</f>
        <v>1139599.030612</v>
      </c>
      <c r="S819" s="9">
        <f>D819*VLOOKUP(F819,보스!$A$4:$E$5,4,FALSE)</f>
        <v>41025565.102031998</v>
      </c>
    </row>
    <row r="820" spans="1:19" ht="21.95" customHeight="1">
      <c r="A820" s="6">
        <v>5817</v>
      </c>
      <c r="B820" s="2" t="s">
        <v>968</v>
      </c>
      <c r="C820" s="6">
        <v>817</v>
      </c>
      <c r="D820" s="7">
        <v>572048.78142976004</v>
      </c>
      <c r="E820" s="2" t="s">
        <v>152</v>
      </c>
      <c r="F820" s="6">
        <v>2001</v>
      </c>
      <c r="G820" s="6">
        <v>5</v>
      </c>
      <c r="H820" s="7">
        <v>30</v>
      </c>
      <c r="I820" s="6">
        <v>5</v>
      </c>
      <c r="J820" s="6">
        <v>2</v>
      </c>
      <c r="K820" s="6">
        <v>1</v>
      </c>
      <c r="L820" s="6">
        <v>15</v>
      </c>
      <c r="M820" s="6">
        <v>328774</v>
      </c>
      <c r="N820" s="6">
        <v>6575480</v>
      </c>
      <c r="O820" s="6">
        <v>86</v>
      </c>
      <c r="P820" s="7">
        <v>9656.2780399999992</v>
      </c>
      <c r="Q820" s="7">
        <v>40602.2451</v>
      </c>
      <c r="R820" s="9">
        <f>D820*VLOOKUP(1001,적!$A$4:$D$13,3,FALSE)</f>
        <v>1144097.5628595201</v>
      </c>
      <c r="S820" s="9">
        <f>D820*VLOOKUP(F820,보스!$A$4:$E$5,4,FALSE)</f>
        <v>41187512.262942724</v>
      </c>
    </row>
    <row r="821" spans="1:19" ht="21.95" customHeight="1">
      <c r="A821" s="6">
        <v>5818</v>
      </c>
      <c r="B821" s="2" t="s">
        <v>969</v>
      </c>
      <c r="C821" s="6">
        <v>818</v>
      </c>
      <c r="D821" s="7">
        <v>574304.94438720006</v>
      </c>
      <c r="E821" s="2" t="s">
        <v>152</v>
      </c>
      <c r="F821" s="6">
        <v>2002</v>
      </c>
      <c r="G821" s="6">
        <v>5</v>
      </c>
      <c r="H821" s="7">
        <v>30</v>
      </c>
      <c r="I821" s="6">
        <v>5</v>
      </c>
      <c r="J821" s="6">
        <v>2</v>
      </c>
      <c r="K821" s="6">
        <v>1</v>
      </c>
      <c r="L821" s="6">
        <v>15</v>
      </c>
      <c r="M821" s="6">
        <v>329180</v>
      </c>
      <c r="N821" s="6">
        <v>6583600</v>
      </c>
      <c r="O821" s="6">
        <v>86</v>
      </c>
      <c r="P821" s="7">
        <v>9678.1759199999997</v>
      </c>
      <c r="Q821" s="7">
        <v>40694.317799999997</v>
      </c>
      <c r="R821" s="9">
        <f>D821*VLOOKUP(1001,적!$A$4:$D$13,3,FALSE)</f>
        <v>1148609.8887744001</v>
      </c>
      <c r="S821" s="9">
        <f>D821*VLOOKUP(F821,보스!$A$4:$E$5,4,FALSE)</f>
        <v>41349955.995878406</v>
      </c>
    </row>
    <row r="822" spans="1:19" ht="21.95" customHeight="1">
      <c r="A822" s="6">
        <v>5819</v>
      </c>
      <c r="B822" s="2" t="s">
        <v>970</v>
      </c>
      <c r="C822" s="6">
        <v>819</v>
      </c>
      <c r="D822" s="7">
        <v>576568.01908591995</v>
      </c>
      <c r="E822" s="2" t="s">
        <v>152</v>
      </c>
      <c r="F822" s="6">
        <v>2001</v>
      </c>
      <c r="G822" s="6">
        <v>5</v>
      </c>
      <c r="H822" s="7">
        <v>30</v>
      </c>
      <c r="I822" s="6">
        <v>5</v>
      </c>
      <c r="J822" s="6">
        <v>2</v>
      </c>
      <c r="K822" s="6">
        <v>1</v>
      </c>
      <c r="L822" s="6">
        <v>15</v>
      </c>
      <c r="M822" s="6">
        <v>329586</v>
      </c>
      <c r="N822" s="6">
        <v>6591720</v>
      </c>
      <c r="O822" s="6">
        <v>86</v>
      </c>
      <c r="P822" s="7">
        <v>9700.0984399999998</v>
      </c>
      <c r="Q822" s="7">
        <v>40786.494100000004</v>
      </c>
      <c r="R822" s="9">
        <f>D822*VLOOKUP(1001,적!$A$4:$D$13,3,FALSE)</f>
        <v>1153136.0381718399</v>
      </c>
      <c r="S822" s="9">
        <f>D822*VLOOKUP(F822,보스!$A$4:$E$5,4,FALSE)</f>
        <v>41512897.374186233</v>
      </c>
    </row>
    <row r="823" spans="1:19" ht="21.95" customHeight="1">
      <c r="A823" s="6">
        <v>5820</v>
      </c>
      <c r="B823" s="2" t="s">
        <v>971</v>
      </c>
      <c r="C823" s="6">
        <v>820</v>
      </c>
      <c r="D823" s="7">
        <v>578838.02045079996</v>
      </c>
      <c r="E823" s="2" t="s">
        <v>152</v>
      </c>
      <c r="F823" s="6">
        <v>2002</v>
      </c>
      <c r="G823" s="6">
        <v>5</v>
      </c>
      <c r="H823" s="7">
        <v>30</v>
      </c>
      <c r="I823" s="6">
        <v>5</v>
      </c>
      <c r="J823" s="6">
        <v>2</v>
      </c>
      <c r="K823" s="6">
        <v>1</v>
      </c>
      <c r="L823" s="6">
        <v>15</v>
      </c>
      <c r="M823" s="6">
        <v>329992</v>
      </c>
      <c r="N823" s="6">
        <v>6599840</v>
      </c>
      <c r="O823" s="6">
        <v>87</v>
      </c>
      <c r="P823" s="7">
        <v>9722.0455999999995</v>
      </c>
      <c r="Q823" s="7">
        <v>40878.773999999998</v>
      </c>
      <c r="R823" s="9">
        <f>D823*VLOOKUP(1001,적!$A$4:$D$13,3,FALSE)</f>
        <v>1157676.0409015999</v>
      </c>
      <c r="S823" s="9">
        <f>D823*VLOOKUP(F823,보스!$A$4:$E$5,4,FALSE)</f>
        <v>41676337.472457595</v>
      </c>
    </row>
    <row r="824" spans="1:19" ht="21.95" customHeight="1">
      <c r="A824" s="6">
        <v>5821</v>
      </c>
      <c r="B824" s="2" t="s">
        <v>972</v>
      </c>
      <c r="C824" s="6">
        <v>821</v>
      </c>
      <c r="D824" s="7">
        <v>581114.96342399996</v>
      </c>
      <c r="E824" s="2" t="s">
        <v>152</v>
      </c>
      <c r="F824" s="6">
        <v>2001</v>
      </c>
      <c r="G824" s="6">
        <v>5</v>
      </c>
      <c r="H824" s="7">
        <v>30</v>
      </c>
      <c r="I824" s="6">
        <v>5</v>
      </c>
      <c r="J824" s="6">
        <v>2</v>
      </c>
      <c r="K824" s="6">
        <v>1</v>
      </c>
      <c r="L824" s="6">
        <v>15</v>
      </c>
      <c r="M824" s="6">
        <v>330398</v>
      </c>
      <c r="N824" s="6">
        <v>6607960</v>
      </c>
      <c r="O824" s="6">
        <v>87</v>
      </c>
      <c r="P824" s="7">
        <v>9744.0174000000006</v>
      </c>
      <c r="Q824" s="7">
        <v>40971.157500000001</v>
      </c>
      <c r="R824" s="9">
        <f>D824*VLOOKUP(1001,적!$A$4:$D$13,3,FALSE)</f>
        <v>1162229.9268479999</v>
      </c>
      <c r="S824" s="9">
        <f>D824*VLOOKUP(F824,보스!$A$4:$E$5,4,FALSE)</f>
        <v>41840277.366527997</v>
      </c>
    </row>
    <row r="825" spans="1:19" ht="21.95" customHeight="1">
      <c r="A825" s="6">
        <v>5822</v>
      </c>
      <c r="B825" s="2" t="s">
        <v>973</v>
      </c>
      <c r="C825" s="6">
        <v>822</v>
      </c>
      <c r="D825" s="7">
        <v>583398.86296496005</v>
      </c>
      <c r="E825" s="2" t="s">
        <v>152</v>
      </c>
      <c r="F825" s="6">
        <v>2002</v>
      </c>
      <c r="G825" s="6">
        <v>5</v>
      </c>
      <c r="H825" s="7">
        <v>30</v>
      </c>
      <c r="I825" s="6">
        <v>5</v>
      </c>
      <c r="J825" s="6">
        <v>2</v>
      </c>
      <c r="K825" s="6">
        <v>1</v>
      </c>
      <c r="L825" s="6">
        <v>15</v>
      </c>
      <c r="M825" s="6">
        <v>330804</v>
      </c>
      <c r="N825" s="6">
        <v>6616080</v>
      </c>
      <c r="O825" s="6">
        <v>87</v>
      </c>
      <c r="P825" s="7">
        <v>9766.0138399999996</v>
      </c>
      <c r="Q825" s="7">
        <v>41063.6446</v>
      </c>
      <c r="R825" s="9">
        <f>D825*VLOOKUP(1001,적!$A$4:$D$13,3,FALSE)</f>
        <v>1166797.7259299201</v>
      </c>
      <c r="S825" s="9">
        <f>D825*VLOOKUP(F825,보스!$A$4:$E$5,4,FALSE)</f>
        <v>42004718.133477122</v>
      </c>
    </row>
    <row r="826" spans="1:19" ht="21.95" customHeight="1">
      <c r="A826" s="6">
        <v>5823</v>
      </c>
      <c r="B826" s="2" t="s">
        <v>974</v>
      </c>
      <c r="C826" s="6">
        <v>823</v>
      </c>
      <c r="D826" s="7">
        <v>585689.73405039997</v>
      </c>
      <c r="E826" s="2" t="s">
        <v>152</v>
      </c>
      <c r="F826" s="6">
        <v>2001</v>
      </c>
      <c r="G826" s="6">
        <v>5</v>
      </c>
      <c r="H826" s="7">
        <v>30</v>
      </c>
      <c r="I826" s="6">
        <v>5</v>
      </c>
      <c r="J826" s="6">
        <v>2</v>
      </c>
      <c r="K826" s="6">
        <v>1</v>
      </c>
      <c r="L826" s="6">
        <v>15</v>
      </c>
      <c r="M826" s="6">
        <v>331210</v>
      </c>
      <c r="N826" s="6">
        <v>6624200</v>
      </c>
      <c r="O826" s="6">
        <v>87</v>
      </c>
      <c r="P826" s="7">
        <v>9788.0349200000001</v>
      </c>
      <c r="Q826" s="7">
        <v>41156.2353</v>
      </c>
      <c r="R826" s="9">
        <f>D826*VLOOKUP(1001,적!$A$4:$D$13,3,FALSE)</f>
        <v>1171379.4681007999</v>
      </c>
      <c r="S826" s="9">
        <f>D826*VLOOKUP(F826,보스!$A$4:$E$5,4,FALSE)</f>
        <v>42169660.851628795</v>
      </c>
    </row>
    <row r="827" spans="1:19" ht="21.95" customHeight="1">
      <c r="A827" s="6">
        <v>5824</v>
      </c>
      <c r="B827" s="2" t="s">
        <v>975</v>
      </c>
      <c r="C827" s="6">
        <v>824</v>
      </c>
      <c r="D827" s="7">
        <v>587987.59167432005</v>
      </c>
      <c r="E827" s="2" t="s">
        <v>152</v>
      </c>
      <c r="F827" s="6">
        <v>2002</v>
      </c>
      <c r="G827" s="6">
        <v>5</v>
      </c>
      <c r="H827" s="7">
        <v>30</v>
      </c>
      <c r="I827" s="6">
        <v>5</v>
      </c>
      <c r="J827" s="6">
        <v>2</v>
      </c>
      <c r="K827" s="6">
        <v>1</v>
      </c>
      <c r="L827" s="6">
        <v>15</v>
      </c>
      <c r="M827" s="6">
        <v>331616</v>
      </c>
      <c r="N827" s="6">
        <v>6632320</v>
      </c>
      <c r="O827" s="6">
        <v>87</v>
      </c>
      <c r="P827" s="7">
        <v>9810.0806400000001</v>
      </c>
      <c r="Q827" s="7">
        <v>41248.929600000003</v>
      </c>
      <c r="R827" s="9">
        <f>D827*VLOOKUP(1001,적!$A$4:$D$13,3,FALSE)</f>
        <v>1175975.1833486401</v>
      </c>
      <c r="S827" s="9">
        <f>D827*VLOOKUP(F827,보스!$A$4:$E$5,4,FALSE)</f>
        <v>42335106.600551046</v>
      </c>
    </row>
    <row r="828" spans="1:19" ht="21.95" customHeight="1">
      <c r="A828" s="6">
        <v>5825</v>
      </c>
      <c r="B828" s="2" t="s">
        <v>976</v>
      </c>
      <c r="C828" s="6">
        <v>825</v>
      </c>
      <c r="D828" s="7">
        <v>590292.45084800001</v>
      </c>
      <c r="E828" s="2" t="s">
        <v>152</v>
      </c>
      <c r="F828" s="6">
        <v>2001</v>
      </c>
      <c r="G828" s="6">
        <v>5</v>
      </c>
      <c r="H828" s="7">
        <v>30</v>
      </c>
      <c r="I828" s="6">
        <v>5</v>
      </c>
      <c r="J828" s="6">
        <v>2</v>
      </c>
      <c r="K828" s="6">
        <v>1</v>
      </c>
      <c r="L828" s="6">
        <v>15</v>
      </c>
      <c r="M828" s="6">
        <v>332022</v>
      </c>
      <c r="N828" s="6">
        <v>6640440</v>
      </c>
      <c r="O828" s="6">
        <v>87</v>
      </c>
      <c r="P828" s="7">
        <v>9832.1509999999998</v>
      </c>
      <c r="Q828" s="7">
        <v>41341.727500000001</v>
      </c>
      <c r="R828" s="9">
        <f>D828*VLOOKUP(1001,적!$A$4:$D$13,3,FALSE)</f>
        <v>1180584.901696</v>
      </c>
      <c r="S828" s="9">
        <f>D828*VLOOKUP(F828,보스!$A$4:$E$5,4,FALSE)</f>
        <v>42501056.461056001</v>
      </c>
    </row>
    <row r="829" spans="1:19" ht="21.95" customHeight="1">
      <c r="A829" s="6">
        <v>5826</v>
      </c>
      <c r="B829" s="2" t="s">
        <v>977</v>
      </c>
      <c r="C829" s="6">
        <v>826</v>
      </c>
      <c r="D829" s="7">
        <v>592604.32660000003</v>
      </c>
      <c r="E829" s="2" t="s">
        <v>152</v>
      </c>
      <c r="F829" s="6">
        <v>2002</v>
      </c>
      <c r="G829" s="6">
        <v>5</v>
      </c>
      <c r="H829" s="7">
        <v>30</v>
      </c>
      <c r="I829" s="6">
        <v>5</v>
      </c>
      <c r="J829" s="6">
        <v>2</v>
      </c>
      <c r="K829" s="6">
        <v>1</v>
      </c>
      <c r="L829" s="6">
        <v>15</v>
      </c>
      <c r="M829" s="6">
        <v>332428</v>
      </c>
      <c r="N829" s="6">
        <v>6648560</v>
      </c>
      <c r="O829" s="6">
        <v>87</v>
      </c>
      <c r="P829" s="7">
        <v>9854.2459999999992</v>
      </c>
      <c r="Q829" s="7">
        <v>41434.629000000001</v>
      </c>
      <c r="R829" s="9">
        <f>D829*VLOOKUP(1001,적!$A$4:$D$13,3,FALSE)</f>
        <v>1185208.6532000001</v>
      </c>
      <c r="S829" s="9">
        <f>D829*VLOOKUP(F829,보스!$A$4:$E$5,4,FALSE)</f>
        <v>42667511.515200004</v>
      </c>
    </row>
    <row r="830" spans="1:19" ht="21.95" customHeight="1">
      <c r="A830" s="6">
        <v>5827</v>
      </c>
      <c r="B830" s="2" t="s">
        <v>978</v>
      </c>
      <c r="C830" s="6">
        <v>827</v>
      </c>
      <c r="D830" s="7">
        <v>594923.23397615994</v>
      </c>
      <c r="E830" s="2" t="s">
        <v>152</v>
      </c>
      <c r="F830" s="6">
        <v>2001</v>
      </c>
      <c r="G830" s="6">
        <v>5</v>
      </c>
      <c r="H830" s="7">
        <v>30</v>
      </c>
      <c r="I830" s="6">
        <v>5</v>
      </c>
      <c r="J830" s="6">
        <v>2</v>
      </c>
      <c r="K830" s="6">
        <v>1</v>
      </c>
      <c r="L830" s="6">
        <v>15</v>
      </c>
      <c r="M830" s="6">
        <v>332834</v>
      </c>
      <c r="N830" s="6">
        <v>6656680</v>
      </c>
      <c r="O830" s="6">
        <v>87</v>
      </c>
      <c r="P830" s="7">
        <v>9876.36564</v>
      </c>
      <c r="Q830" s="7">
        <v>41527.634100000003</v>
      </c>
      <c r="R830" s="9">
        <f>D830*VLOOKUP(1001,적!$A$4:$D$13,3,FALSE)</f>
        <v>1189846.4679523199</v>
      </c>
      <c r="S830" s="9">
        <f>D830*VLOOKUP(F830,보스!$A$4:$E$5,4,FALSE)</f>
        <v>42834472.846283518</v>
      </c>
    </row>
    <row r="831" spans="1:19" ht="21.95" customHeight="1">
      <c r="A831" s="6">
        <v>5828</v>
      </c>
      <c r="B831" s="2" t="s">
        <v>979</v>
      </c>
      <c r="C831" s="6">
        <v>828</v>
      </c>
      <c r="D831" s="7">
        <v>597249.18803960003</v>
      </c>
      <c r="E831" s="2" t="s">
        <v>152</v>
      </c>
      <c r="F831" s="6">
        <v>2002</v>
      </c>
      <c r="G831" s="6">
        <v>5</v>
      </c>
      <c r="H831" s="7">
        <v>30</v>
      </c>
      <c r="I831" s="6">
        <v>5</v>
      </c>
      <c r="J831" s="6">
        <v>2</v>
      </c>
      <c r="K831" s="6">
        <v>1</v>
      </c>
      <c r="L831" s="6">
        <v>15</v>
      </c>
      <c r="M831" s="6">
        <v>333240</v>
      </c>
      <c r="N831" s="6">
        <v>6664800</v>
      </c>
      <c r="O831" s="6">
        <v>87</v>
      </c>
      <c r="P831" s="7">
        <v>9898.5099200000004</v>
      </c>
      <c r="Q831" s="7">
        <v>41620.7428</v>
      </c>
      <c r="R831" s="9">
        <f>D831*VLOOKUP(1001,적!$A$4:$D$13,3,FALSE)</f>
        <v>1194498.3760792001</v>
      </c>
      <c r="S831" s="9">
        <f>D831*VLOOKUP(F831,보스!$A$4:$E$5,4,FALSE)</f>
        <v>43001941.538851202</v>
      </c>
    </row>
    <row r="832" spans="1:19" ht="21.95" customHeight="1">
      <c r="A832" s="6">
        <v>5829</v>
      </c>
      <c r="B832" s="2" t="s">
        <v>980</v>
      </c>
      <c r="C832" s="6">
        <v>829</v>
      </c>
      <c r="D832" s="7">
        <v>599582.20387072</v>
      </c>
      <c r="E832" s="2" t="s">
        <v>152</v>
      </c>
      <c r="F832" s="6">
        <v>2001</v>
      </c>
      <c r="G832" s="6">
        <v>5</v>
      </c>
      <c r="H832" s="7">
        <v>30</v>
      </c>
      <c r="I832" s="6">
        <v>5</v>
      </c>
      <c r="J832" s="6">
        <v>2</v>
      </c>
      <c r="K832" s="6">
        <v>1</v>
      </c>
      <c r="L832" s="6">
        <v>15</v>
      </c>
      <c r="M832" s="6">
        <v>333646</v>
      </c>
      <c r="N832" s="6">
        <v>6672920</v>
      </c>
      <c r="O832" s="6">
        <v>87</v>
      </c>
      <c r="P832" s="7">
        <v>9920.6788400000005</v>
      </c>
      <c r="Q832" s="7">
        <v>41713.955099999999</v>
      </c>
      <c r="R832" s="9">
        <f>D832*VLOOKUP(1001,적!$A$4:$D$13,3,FALSE)</f>
        <v>1199164.40774144</v>
      </c>
      <c r="S832" s="9">
        <f>D832*VLOOKUP(F832,보스!$A$4:$E$5,4,FALSE)</f>
        <v>43169918.678691842</v>
      </c>
    </row>
    <row r="833" spans="1:19" ht="21.95" customHeight="1">
      <c r="A833" s="6">
        <v>5830</v>
      </c>
      <c r="B833" s="2" t="s">
        <v>981</v>
      </c>
      <c r="C833" s="6">
        <v>830</v>
      </c>
      <c r="D833" s="7">
        <v>601922.29656719998</v>
      </c>
      <c r="E833" s="2" t="s">
        <v>152</v>
      </c>
      <c r="F833" s="6">
        <v>2002</v>
      </c>
      <c r="G833" s="6">
        <v>5</v>
      </c>
      <c r="H833" s="7">
        <v>30</v>
      </c>
      <c r="I833" s="6">
        <v>5</v>
      </c>
      <c r="J833" s="6">
        <v>2</v>
      </c>
      <c r="K833" s="6">
        <v>1</v>
      </c>
      <c r="L833" s="6">
        <v>15</v>
      </c>
      <c r="M833" s="6">
        <v>334052</v>
      </c>
      <c r="N833" s="6">
        <v>6681040</v>
      </c>
      <c r="O833" s="6">
        <v>88</v>
      </c>
      <c r="P833" s="7">
        <v>9942.8724000000002</v>
      </c>
      <c r="Q833" s="7">
        <v>41807.271000000001</v>
      </c>
      <c r="R833" s="9">
        <f>D833*VLOOKUP(1001,적!$A$4:$D$13,3,FALSE)</f>
        <v>1203844.5931344</v>
      </c>
      <c r="S833" s="9">
        <f>D833*VLOOKUP(F833,보스!$A$4:$E$5,4,FALSE)</f>
        <v>43338405.352838397</v>
      </c>
    </row>
    <row r="834" spans="1:19" ht="21.95" customHeight="1">
      <c r="A834" s="6">
        <v>5831</v>
      </c>
      <c r="B834" s="2" t="s">
        <v>982</v>
      </c>
      <c r="C834" s="6">
        <v>831</v>
      </c>
      <c r="D834" s="7">
        <v>604269.48124400002</v>
      </c>
      <c r="E834" s="2" t="s">
        <v>152</v>
      </c>
      <c r="F834" s="6">
        <v>2001</v>
      </c>
      <c r="G834" s="6">
        <v>5</v>
      </c>
      <c r="H834" s="7">
        <v>30</v>
      </c>
      <c r="I834" s="6">
        <v>5</v>
      </c>
      <c r="J834" s="6">
        <v>2</v>
      </c>
      <c r="K834" s="6">
        <v>1</v>
      </c>
      <c r="L834" s="6">
        <v>15</v>
      </c>
      <c r="M834" s="6">
        <v>334458</v>
      </c>
      <c r="N834" s="6">
        <v>6689160</v>
      </c>
      <c r="O834" s="6">
        <v>88</v>
      </c>
      <c r="P834" s="7">
        <v>9965.0905999999995</v>
      </c>
      <c r="Q834" s="7">
        <v>41900.690499999997</v>
      </c>
      <c r="R834" s="9">
        <f>D834*VLOOKUP(1001,적!$A$4:$D$13,3,FALSE)</f>
        <v>1208538.962488</v>
      </c>
      <c r="S834" s="9">
        <f>D834*VLOOKUP(F834,보스!$A$4:$E$5,4,FALSE)</f>
        <v>43507402.649567999</v>
      </c>
    </row>
    <row r="835" spans="1:19" ht="21.95" customHeight="1">
      <c r="A835" s="6">
        <v>5832</v>
      </c>
      <c r="B835" s="2" t="s">
        <v>983</v>
      </c>
      <c r="C835" s="6">
        <v>832</v>
      </c>
      <c r="D835" s="7">
        <v>606623.77303336002</v>
      </c>
      <c r="E835" s="2" t="s">
        <v>152</v>
      </c>
      <c r="F835" s="6">
        <v>2002</v>
      </c>
      <c r="G835" s="6">
        <v>5</v>
      </c>
      <c r="H835" s="7">
        <v>30</v>
      </c>
      <c r="I835" s="6">
        <v>5</v>
      </c>
      <c r="J835" s="6">
        <v>2</v>
      </c>
      <c r="K835" s="6">
        <v>1</v>
      </c>
      <c r="L835" s="6">
        <v>15</v>
      </c>
      <c r="M835" s="6">
        <v>334864</v>
      </c>
      <c r="N835" s="6">
        <v>6697280</v>
      </c>
      <c r="O835" s="6">
        <v>88</v>
      </c>
      <c r="P835" s="7">
        <v>9987.3334400000003</v>
      </c>
      <c r="Q835" s="7">
        <v>41994.213600000003</v>
      </c>
      <c r="R835" s="9">
        <f>D835*VLOOKUP(1001,적!$A$4:$D$13,3,FALSE)</f>
        <v>1213247.54606672</v>
      </c>
      <c r="S835" s="9">
        <f>D835*VLOOKUP(F835,보스!$A$4:$E$5,4,FALSE)</f>
        <v>43676911.658401921</v>
      </c>
    </row>
    <row r="836" spans="1:19" ht="21.95" customHeight="1">
      <c r="A836" s="6">
        <v>5833</v>
      </c>
      <c r="B836" s="2" t="s">
        <v>984</v>
      </c>
      <c r="C836" s="6">
        <v>833</v>
      </c>
      <c r="D836" s="7">
        <v>608985.18708479998</v>
      </c>
      <c r="E836" s="2" t="s">
        <v>152</v>
      </c>
      <c r="F836" s="6">
        <v>2001</v>
      </c>
      <c r="G836" s="6">
        <v>5</v>
      </c>
      <c r="H836" s="7">
        <v>30</v>
      </c>
      <c r="I836" s="6">
        <v>5</v>
      </c>
      <c r="J836" s="6">
        <v>2</v>
      </c>
      <c r="K836" s="6">
        <v>1</v>
      </c>
      <c r="L836" s="6">
        <v>15</v>
      </c>
      <c r="M836" s="6">
        <v>335270</v>
      </c>
      <c r="N836" s="6">
        <v>6705400</v>
      </c>
      <c r="O836" s="6">
        <v>88</v>
      </c>
      <c r="P836" s="7">
        <v>10009.600920000001</v>
      </c>
      <c r="Q836" s="7">
        <v>42087.840300000003</v>
      </c>
      <c r="R836" s="9">
        <f>D836*VLOOKUP(1001,적!$A$4:$D$13,3,FALSE)</f>
        <v>1217970.3741696</v>
      </c>
      <c r="S836" s="9">
        <f>D836*VLOOKUP(F836,보스!$A$4:$E$5,4,FALSE)</f>
        <v>43846933.470105596</v>
      </c>
    </row>
    <row r="837" spans="1:19" ht="21.95" customHeight="1">
      <c r="A837" s="6">
        <v>5834</v>
      </c>
      <c r="B837" s="2" t="s">
        <v>985</v>
      </c>
      <c r="C837" s="6">
        <v>834</v>
      </c>
      <c r="D837" s="7">
        <v>611353.73856512003</v>
      </c>
      <c r="E837" s="2" t="s">
        <v>152</v>
      </c>
      <c r="F837" s="6">
        <v>2002</v>
      </c>
      <c r="G837" s="6">
        <v>5</v>
      </c>
      <c r="H837" s="7">
        <v>30</v>
      </c>
      <c r="I837" s="6">
        <v>5</v>
      </c>
      <c r="J837" s="6">
        <v>2</v>
      </c>
      <c r="K837" s="6">
        <v>1</v>
      </c>
      <c r="L837" s="6">
        <v>15</v>
      </c>
      <c r="M837" s="6">
        <v>335676</v>
      </c>
      <c r="N837" s="6">
        <v>6713520</v>
      </c>
      <c r="O837" s="6">
        <v>88</v>
      </c>
      <c r="P837" s="7">
        <v>10031.893040000001</v>
      </c>
      <c r="Q837" s="7">
        <v>42181.570599999999</v>
      </c>
      <c r="R837" s="9">
        <f>D837*VLOOKUP(1001,적!$A$4:$D$13,3,FALSE)</f>
        <v>1222707.4771302401</v>
      </c>
      <c r="S837" s="9">
        <f>D837*VLOOKUP(F837,보스!$A$4:$E$5,4,FALSE)</f>
        <v>44017469.176688641</v>
      </c>
    </row>
    <row r="838" spans="1:19" ht="21.95" customHeight="1">
      <c r="A838" s="6">
        <v>5835</v>
      </c>
      <c r="B838" s="2" t="s">
        <v>986</v>
      </c>
      <c r="C838" s="6">
        <v>835</v>
      </c>
      <c r="D838" s="7">
        <v>613729.44265840005</v>
      </c>
      <c r="E838" s="2" t="s">
        <v>152</v>
      </c>
      <c r="F838" s="6">
        <v>2001</v>
      </c>
      <c r="G838" s="6">
        <v>5</v>
      </c>
      <c r="H838" s="7">
        <v>30</v>
      </c>
      <c r="I838" s="6">
        <v>5</v>
      </c>
      <c r="J838" s="6">
        <v>2</v>
      </c>
      <c r="K838" s="6">
        <v>1</v>
      </c>
      <c r="L838" s="6">
        <v>15</v>
      </c>
      <c r="M838" s="6">
        <v>336082</v>
      </c>
      <c r="N838" s="6">
        <v>6721640</v>
      </c>
      <c r="O838" s="6">
        <v>88</v>
      </c>
      <c r="P838" s="7">
        <v>10054.209800000001</v>
      </c>
      <c r="Q838" s="7">
        <v>42275.404499999997</v>
      </c>
      <c r="R838" s="9">
        <f>D838*VLOOKUP(1001,적!$A$4:$D$13,3,FALSE)</f>
        <v>1227458.8853168001</v>
      </c>
      <c r="S838" s="9">
        <f>D838*VLOOKUP(F838,보스!$A$4:$E$5,4,FALSE)</f>
        <v>44188519.871404804</v>
      </c>
    </row>
    <row r="839" spans="1:19" ht="21.95" customHeight="1">
      <c r="A839" s="6">
        <v>5836</v>
      </c>
      <c r="B839" s="2" t="s">
        <v>987</v>
      </c>
      <c r="C839" s="6">
        <v>836</v>
      </c>
      <c r="D839" s="7">
        <v>616112.31456600002</v>
      </c>
      <c r="E839" s="2" t="s">
        <v>152</v>
      </c>
      <c r="F839" s="6">
        <v>2002</v>
      </c>
      <c r="G839" s="6">
        <v>5</v>
      </c>
      <c r="H839" s="7">
        <v>30</v>
      </c>
      <c r="I839" s="6">
        <v>5</v>
      </c>
      <c r="J839" s="6">
        <v>2</v>
      </c>
      <c r="K839" s="6">
        <v>1</v>
      </c>
      <c r="L839" s="6">
        <v>15</v>
      </c>
      <c r="M839" s="6">
        <v>336488</v>
      </c>
      <c r="N839" s="6">
        <v>6729760</v>
      </c>
      <c r="O839" s="6">
        <v>88</v>
      </c>
      <c r="P839" s="7">
        <v>10076.5512</v>
      </c>
      <c r="Q839" s="7">
        <v>42369.341999999997</v>
      </c>
      <c r="R839" s="9">
        <f>D839*VLOOKUP(1001,적!$A$4:$D$13,3,FALSE)</f>
        <v>1232224.629132</v>
      </c>
      <c r="S839" s="9">
        <f>D839*VLOOKUP(F839,보스!$A$4:$E$5,4,FALSE)</f>
        <v>44360086.648752004</v>
      </c>
    </row>
    <row r="840" spans="1:19" ht="21.95" customHeight="1">
      <c r="A840" s="6">
        <v>5837</v>
      </c>
      <c r="B840" s="2" t="s">
        <v>988</v>
      </c>
      <c r="C840" s="6">
        <v>837</v>
      </c>
      <c r="D840" s="7">
        <v>618502.36950656003</v>
      </c>
      <c r="E840" s="2" t="s">
        <v>152</v>
      </c>
      <c r="F840" s="6">
        <v>2001</v>
      </c>
      <c r="G840" s="6">
        <v>5</v>
      </c>
      <c r="H840" s="7">
        <v>30</v>
      </c>
      <c r="I840" s="6">
        <v>5</v>
      </c>
      <c r="J840" s="6">
        <v>2</v>
      </c>
      <c r="K840" s="6">
        <v>1</v>
      </c>
      <c r="L840" s="6">
        <v>15</v>
      </c>
      <c r="M840" s="6">
        <v>336894</v>
      </c>
      <c r="N840" s="6">
        <v>6737880</v>
      </c>
      <c r="O840" s="6">
        <v>88</v>
      </c>
      <c r="P840" s="7">
        <v>10098.917240000001</v>
      </c>
      <c r="Q840" s="7">
        <v>42463.383099999999</v>
      </c>
      <c r="R840" s="9">
        <f>D840*VLOOKUP(1001,적!$A$4:$D$13,3,FALSE)</f>
        <v>1237004.7390131201</v>
      </c>
      <c r="S840" s="9">
        <f>D840*VLOOKUP(F840,보스!$A$4:$E$5,4,FALSE)</f>
        <v>44532170.604472324</v>
      </c>
    </row>
    <row r="841" spans="1:19" ht="21.95" customHeight="1">
      <c r="A841" s="6">
        <v>5838</v>
      </c>
      <c r="B841" s="2" t="s">
        <v>989</v>
      </c>
      <c r="C841" s="6">
        <v>838</v>
      </c>
      <c r="D841" s="7">
        <v>620899.62271599995</v>
      </c>
      <c r="E841" s="2" t="s">
        <v>152</v>
      </c>
      <c r="F841" s="6">
        <v>2002</v>
      </c>
      <c r="G841" s="6">
        <v>5</v>
      </c>
      <c r="H841" s="7">
        <v>30</v>
      </c>
      <c r="I841" s="6">
        <v>5</v>
      </c>
      <c r="J841" s="6">
        <v>2</v>
      </c>
      <c r="K841" s="6">
        <v>1</v>
      </c>
      <c r="L841" s="6">
        <v>15</v>
      </c>
      <c r="M841" s="6">
        <v>337300</v>
      </c>
      <c r="N841" s="6">
        <v>6746000</v>
      </c>
      <c r="O841" s="6">
        <v>88</v>
      </c>
      <c r="P841" s="7">
        <v>10121.307919999999</v>
      </c>
      <c r="Q841" s="7">
        <v>42557.527800000003</v>
      </c>
      <c r="R841" s="9">
        <f>D841*VLOOKUP(1001,적!$A$4:$D$13,3,FALSE)</f>
        <v>1241799.2454319999</v>
      </c>
      <c r="S841" s="9">
        <f>D841*VLOOKUP(F841,보스!$A$4:$E$5,4,FALSE)</f>
        <v>44704772.835552</v>
      </c>
    </row>
    <row r="842" spans="1:19" ht="21.95" customHeight="1">
      <c r="A842" s="6">
        <v>5839</v>
      </c>
      <c r="B842" s="2" t="s">
        <v>990</v>
      </c>
      <c r="C842" s="6">
        <v>839</v>
      </c>
      <c r="D842" s="7">
        <v>623304.08944751997</v>
      </c>
      <c r="E842" s="2" t="s">
        <v>152</v>
      </c>
      <c r="F842" s="6">
        <v>2001</v>
      </c>
      <c r="G842" s="6">
        <v>5</v>
      </c>
      <c r="H842" s="7">
        <v>30</v>
      </c>
      <c r="I842" s="6">
        <v>5</v>
      </c>
      <c r="J842" s="6">
        <v>2</v>
      </c>
      <c r="K842" s="6">
        <v>1</v>
      </c>
      <c r="L842" s="6">
        <v>15</v>
      </c>
      <c r="M842" s="6">
        <v>337707</v>
      </c>
      <c r="N842" s="6">
        <v>6754140</v>
      </c>
      <c r="O842" s="6">
        <v>88</v>
      </c>
      <c r="P842" s="7">
        <v>10143.723239999999</v>
      </c>
      <c r="Q842" s="7">
        <v>42651.776100000003</v>
      </c>
      <c r="R842" s="9">
        <f>D842*VLOOKUP(1001,적!$A$4:$D$13,3,FALSE)</f>
        <v>1246608.1788950399</v>
      </c>
      <c r="S842" s="9">
        <f>D842*VLOOKUP(F842,보스!$A$4:$E$5,4,FALSE)</f>
        <v>44877894.440221436</v>
      </c>
    </row>
    <row r="843" spans="1:19" ht="21.95" customHeight="1">
      <c r="A843" s="6">
        <v>5840</v>
      </c>
      <c r="B843" s="2" t="s">
        <v>991</v>
      </c>
      <c r="C843" s="6">
        <v>840</v>
      </c>
      <c r="D843" s="7">
        <v>625715.78497160005</v>
      </c>
      <c r="E843" s="2" t="s">
        <v>152</v>
      </c>
      <c r="F843" s="6">
        <v>2002</v>
      </c>
      <c r="G843" s="6">
        <v>5</v>
      </c>
      <c r="H843" s="7">
        <v>30</v>
      </c>
      <c r="I843" s="6">
        <v>5</v>
      </c>
      <c r="J843" s="6">
        <v>2</v>
      </c>
      <c r="K843" s="6">
        <v>1</v>
      </c>
      <c r="L843" s="6">
        <v>15</v>
      </c>
      <c r="M843" s="6">
        <v>338113</v>
      </c>
      <c r="N843" s="6">
        <v>6762260</v>
      </c>
      <c r="O843" s="6">
        <v>89</v>
      </c>
      <c r="P843" s="7">
        <v>10166.163200000001</v>
      </c>
      <c r="Q843" s="7">
        <v>42746.127999999997</v>
      </c>
      <c r="R843" s="9">
        <f>D843*VLOOKUP(1001,적!$A$4:$D$13,3,FALSE)</f>
        <v>1251431.5699432001</v>
      </c>
      <c r="S843" s="9">
        <f>D843*VLOOKUP(F843,보스!$A$4:$E$5,4,FALSE)</f>
        <v>45051536.517955206</v>
      </c>
    </row>
    <row r="844" spans="1:19" ht="21.95" customHeight="1">
      <c r="A844" s="6">
        <v>5841</v>
      </c>
      <c r="B844" s="2" t="s">
        <v>992</v>
      </c>
      <c r="C844" s="6">
        <v>841</v>
      </c>
      <c r="D844" s="7">
        <v>628134.72457600001</v>
      </c>
      <c r="E844" s="2" t="s">
        <v>152</v>
      </c>
      <c r="F844" s="6">
        <v>2001</v>
      </c>
      <c r="G844" s="6">
        <v>5</v>
      </c>
      <c r="H844" s="7">
        <v>30</v>
      </c>
      <c r="I844" s="6">
        <v>5</v>
      </c>
      <c r="J844" s="6">
        <v>2</v>
      </c>
      <c r="K844" s="6">
        <v>1</v>
      </c>
      <c r="L844" s="6">
        <v>15</v>
      </c>
      <c r="M844" s="6">
        <v>338519</v>
      </c>
      <c r="N844" s="6">
        <v>6770380</v>
      </c>
      <c r="O844" s="6">
        <v>89</v>
      </c>
      <c r="P844" s="7">
        <v>10188.6278</v>
      </c>
      <c r="Q844" s="7">
        <v>42840.583500000001</v>
      </c>
      <c r="R844" s="9">
        <f>D844*VLOOKUP(1001,적!$A$4:$D$13,3,FALSE)</f>
        <v>1256269.449152</v>
      </c>
      <c r="S844" s="9">
        <f>D844*VLOOKUP(F844,보스!$A$4:$E$5,4,FALSE)</f>
        <v>45225700.169472001</v>
      </c>
    </row>
    <row r="845" spans="1:19" ht="21.95" customHeight="1">
      <c r="A845" s="6">
        <v>5842</v>
      </c>
      <c r="B845" s="2" t="s">
        <v>993</v>
      </c>
      <c r="C845" s="6">
        <v>842</v>
      </c>
      <c r="D845" s="7">
        <v>630560.92356576002</v>
      </c>
      <c r="E845" s="2" t="s">
        <v>152</v>
      </c>
      <c r="F845" s="6">
        <v>2002</v>
      </c>
      <c r="G845" s="6">
        <v>5</v>
      </c>
      <c r="H845" s="7">
        <v>30</v>
      </c>
      <c r="I845" s="6">
        <v>5</v>
      </c>
      <c r="J845" s="6">
        <v>2</v>
      </c>
      <c r="K845" s="6">
        <v>1</v>
      </c>
      <c r="L845" s="6">
        <v>15</v>
      </c>
      <c r="M845" s="6">
        <v>338925</v>
      </c>
      <c r="N845" s="6">
        <v>6778500</v>
      </c>
      <c r="O845" s="6">
        <v>89</v>
      </c>
      <c r="P845" s="7">
        <v>10211.117039999999</v>
      </c>
      <c r="Q845" s="7">
        <v>42935.142599999999</v>
      </c>
      <c r="R845" s="9">
        <f>D845*VLOOKUP(1001,적!$A$4:$D$13,3,FALSE)</f>
        <v>1261121.84713152</v>
      </c>
      <c r="S845" s="9">
        <f>D845*VLOOKUP(F845,보스!$A$4:$E$5,4,FALSE)</f>
        <v>45400386.496734723</v>
      </c>
    </row>
    <row r="846" spans="1:19" ht="21.95" customHeight="1">
      <c r="A846" s="6">
        <v>5843</v>
      </c>
      <c r="B846" s="2" t="s">
        <v>994</v>
      </c>
      <c r="C846" s="6">
        <v>843</v>
      </c>
      <c r="D846" s="7">
        <v>632994.39726320002</v>
      </c>
      <c r="E846" s="2" t="s">
        <v>152</v>
      </c>
      <c r="F846" s="6">
        <v>2001</v>
      </c>
      <c r="G846" s="6">
        <v>5</v>
      </c>
      <c r="H846" s="7">
        <v>30</v>
      </c>
      <c r="I846" s="6">
        <v>5</v>
      </c>
      <c r="J846" s="6">
        <v>2</v>
      </c>
      <c r="K846" s="6">
        <v>1</v>
      </c>
      <c r="L846" s="6">
        <v>15</v>
      </c>
      <c r="M846" s="6">
        <v>339331</v>
      </c>
      <c r="N846" s="6">
        <v>6786620</v>
      </c>
      <c r="O846" s="6">
        <v>89</v>
      </c>
      <c r="P846" s="7">
        <v>10233.63092</v>
      </c>
      <c r="Q846" s="7">
        <v>43029.8053</v>
      </c>
      <c r="R846" s="9">
        <f>D846*VLOOKUP(1001,적!$A$4:$D$13,3,FALSE)</f>
        <v>1265988.7945264</v>
      </c>
      <c r="S846" s="9">
        <f>D846*VLOOKUP(F846,보스!$A$4:$E$5,4,FALSE)</f>
        <v>45575596.602950402</v>
      </c>
    </row>
    <row r="847" spans="1:19" ht="21.95" customHeight="1">
      <c r="A847" s="6">
        <v>5844</v>
      </c>
      <c r="B847" s="2" t="s">
        <v>995</v>
      </c>
      <c r="C847" s="6">
        <v>844</v>
      </c>
      <c r="D847" s="7">
        <v>635435.16100792005</v>
      </c>
      <c r="E847" s="2" t="s">
        <v>152</v>
      </c>
      <c r="F847" s="6">
        <v>2002</v>
      </c>
      <c r="G847" s="6">
        <v>5</v>
      </c>
      <c r="H847" s="7">
        <v>30</v>
      </c>
      <c r="I847" s="6">
        <v>5</v>
      </c>
      <c r="J847" s="6">
        <v>2</v>
      </c>
      <c r="K847" s="6">
        <v>1</v>
      </c>
      <c r="L847" s="6">
        <v>15</v>
      </c>
      <c r="M847" s="6">
        <v>339737</v>
      </c>
      <c r="N847" s="6">
        <v>6794740</v>
      </c>
      <c r="O847" s="6">
        <v>89</v>
      </c>
      <c r="P847" s="7">
        <v>10256.16944</v>
      </c>
      <c r="Q847" s="7">
        <v>43124.571600000003</v>
      </c>
      <c r="R847" s="9">
        <f>D847*VLOOKUP(1001,적!$A$4:$D$13,3,FALSE)</f>
        <v>1270870.3220158401</v>
      </c>
      <c r="S847" s="9">
        <f>D847*VLOOKUP(F847,보스!$A$4:$E$5,4,FALSE)</f>
        <v>45751331.592570245</v>
      </c>
    </row>
    <row r="848" spans="1:19" ht="21.95" customHeight="1">
      <c r="A848" s="6">
        <v>5845</v>
      </c>
      <c r="B848" s="2" t="s">
        <v>996</v>
      </c>
      <c r="C848" s="6">
        <v>845</v>
      </c>
      <c r="D848" s="7">
        <v>637883.23015680001</v>
      </c>
      <c r="E848" s="2" t="s">
        <v>152</v>
      </c>
      <c r="F848" s="6">
        <v>2001</v>
      </c>
      <c r="G848" s="6">
        <v>5</v>
      </c>
      <c r="H848" s="7">
        <v>30</v>
      </c>
      <c r="I848" s="6">
        <v>5</v>
      </c>
      <c r="J848" s="6">
        <v>2</v>
      </c>
      <c r="K848" s="6">
        <v>1</v>
      </c>
      <c r="L848" s="6">
        <v>15</v>
      </c>
      <c r="M848" s="6">
        <v>340143</v>
      </c>
      <c r="N848" s="6">
        <v>6802860</v>
      </c>
      <c r="O848" s="6">
        <v>89</v>
      </c>
      <c r="P848" s="7">
        <v>10278.732599999999</v>
      </c>
      <c r="Q848" s="7">
        <v>43219.441500000001</v>
      </c>
      <c r="R848" s="9">
        <f>D848*VLOOKUP(1001,적!$A$4:$D$13,3,FALSE)</f>
        <v>1275766.4603136</v>
      </c>
      <c r="S848" s="9">
        <f>D848*VLOOKUP(F848,보스!$A$4:$E$5,4,FALSE)</f>
        <v>45927592.571289599</v>
      </c>
    </row>
    <row r="849" spans="1:19" ht="21.95" customHeight="1">
      <c r="A849" s="6">
        <v>5846</v>
      </c>
      <c r="B849" s="2" t="s">
        <v>997</v>
      </c>
      <c r="C849" s="6">
        <v>846</v>
      </c>
      <c r="D849" s="7">
        <v>640338.62008400005</v>
      </c>
      <c r="E849" s="2" t="s">
        <v>152</v>
      </c>
      <c r="F849" s="6">
        <v>2002</v>
      </c>
      <c r="G849" s="6">
        <v>5</v>
      </c>
      <c r="H849" s="7">
        <v>30</v>
      </c>
      <c r="I849" s="6">
        <v>5</v>
      </c>
      <c r="J849" s="6">
        <v>2</v>
      </c>
      <c r="K849" s="6">
        <v>1</v>
      </c>
      <c r="L849" s="6">
        <v>15</v>
      </c>
      <c r="M849" s="6">
        <v>340549</v>
      </c>
      <c r="N849" s="6">
        <v>6810980</v>
      </c>
      <c r="O849" s="6">
        <v>89</v>
      </c>
      <c r="P849" s="7">
        <v>10301.320400000001</v>
      </c>
      <c r="Q849" s="7">
        <v>43314.415000000001</v>
      </c>
      <c r="R849" s="9">
        <f>D849*VLOOKUP(1001,적!$A$4:$D$13,3,FALSE)</f>
        <v>1280677.2401680001</v>
      </c>
      <c r="S849" s="9">
        <f>D849*VLOOKUP(F849,보스!$A$4:$E$5,4,FALSE)</f>
        <v>46104380.646048002</v>
      </c>
    </row>
    <row r="850" spans="1:19" ht="21.95" customHeight="1">
      <c r="A850" s="6">
        <v>5847</v>
      </c>
      <c r="B850" s="2" t="s">
        <v>998</v>
      </c>
      <c r="C850" s="6">
        <v>847</v>
      </c>
      <c r="D850" s="7">
        <v>642801.34618095995</v>
      </c>
      <c r="E850" s="2" t="s">
        <v>152</v>
      </c>
      <c r="F850" s="6">
        <v>2001</v>
      </c>
      <c r="G850" s="6">
        <v>5</v>
      </c>
      <c r="H850" s="7">
        <v>30</v>
      </c>
      <c r="I850" s="6">
        <v>5</v>
      </c>
      <c r="J850" s="6">
        <v>2</v>
      </c>
      <c r="K850" s="6">
        <v>1</v>
      </c>
      <c r="L850" s="6">
        <v>15</v>
      </c>
      <c r="M850" s="6">
        <v>340955</v>
      </c>
      <c r="N850" s="6">
        <v>6819100</v>
      </c>
      <c r="O850" s="6">
        <v>89</v>
      </c>
      <c r="P850" s="7">
        <v>10323.932839999999</v>
      </c>
      <c r="Q850" s="7">
        <v>43409.492100000003</v>
      </c>
      <c r="R850" s="9">
        <f>D850*VLOOKUP(1001,적!$A$4:$D$13,3,FALSE)</f>
        <v>1285602.6923619199</v>
      </c>
      <c r="S850" s="9">
        <f>D850*VLOOKUP(F850,보스!$A$4:$E$5,4,FALSE)</f>
        <v>46281696.925029114</v>
      </c>
    </row>
    <row r="851" spans="1:19" ht="21.95" customHeight="1">
      <c r="A851" s="6">
        <v>5848</v>
      </c>
      <c r="B851" s="2" t="s">
        <v>999</v>
      </c>
      <c r="C851" s="6">
        <v>848</v>
      </c>
      <c r="D851" s="7">
        <v>645271.42385639995</v>
      </c>
      <c r="E851" s="2" t="s">
        <v>152</v>
      </c>
      <c r="F851" s="6">
        <v>2002</v>
      </c>
      <c r="G851" s="6">
        <v>5</v>
      </c>
      <c r="H851" s="7">
        <v>30</v>
      </c>
      <c r="I851" s="6">
        <v>5</v>
      </c>
      <c r="J851" s="6">
        <v>2</v>
      </c>
      <c r="K851" s="6">
        <v>1</v>
      </c>
      <c r="L851" s="6">
        <v>15</v>
      </c>
      <c r="M851" s="6">
        <v>341361</v>
      </c>
      <c r="N851" s="6">
        <v>6827220</v>
      </c>
      <c r="O851" s="6">
        <v>89</v>
      </c>
      <c r="P851" s="7">
        <v>10346.56992</v>
      </c>
      <c r="Q851" s="7">
        <v>43504.6728</v>
      </c>
      <c r="R851" s="9">
        <f>D851*VLOOKUP(1001,적!$A$4:$D$13,3,FALSE)</f>
        <v>1290542.8477127999</v>
      </c>
      <c r="S851" s="9">
        <f>D851*VLOOKUP(F851,보스!$A$4:$E$5,4,FALSE)</f>
        <v>46459542.517660797</v>
      </c>
    </row>
    <row r="852" spans="1:19" ht="21.95" customHeight="1">
      <c r="A852" s="6">
        <v>5849</v>
      </c>
      <c r="B852" s="2" t="s">
        <v>1000</v>
      </c>
      <c r="C852" s="6">
        <v>849</v>
      </c>
      <c r="D852" s="7">
        <v>647748.86853632005</v>
      </c>
      <c r="E852" s="2" t="s">
        <v>152</v>
      </c>
      <c r="F852" s="6">
        <v>2001</v>
      </c>
      <c r="G852" s="6">
        <v>5</v>
      </c>
      <c r="H852" s="7">
        <v>30</v>
      </c>
      <c r="I852" s="6">
        <v>5</v>
      </c>
      <c r="J852" s="6">
        <v>2</v>
      </c>
      <c r="K852" s="6">
        <v>1</v>
      </c>
      <c r="L852" s="6">
        <v>15</v>
      </c>
      <c r="M852" s="6">
        <v>341767</v>
      </c>
      <c r="N852" s="6">
        <v>6835340</v>
      </c>
      <c r="O852" s="6">
        <v>89</v>
      </c>
      <c r="P852" s="7">
        <v>10369.23164</v>
      </c>
      <c r="Q852" s="7">
        <v>43599.9571</v>
      </c>
      <c r="R852" s="9">
        <f>D852*VLOOKUP(1001,적!$A$4:$D$13,3,FALSE)</f>
        <v>1295497.7370726401</v>
      </c>
      <c r="S852" s="9">
        <f>D852*VLOOKUP(F852,보스!$A$4:$E$5,4,FALSE)</f>
        <v>46637918.53461504</v>
      </c>
    </row>
    <row r="853" spans="1:19" ht="21.95" customHeight="1">
      <c r="A853" s="6">
        <v>5850</v>
      </c>
      <c r="B853" s="2" t="s">
        <v>1001</v>
      </c>
      <c r="C853" s="6">
        <v>850</v>
      </c>
      <c r="D853" s="7">
        <v>650233.695664</v>
      </c>
      <c r="E853" s="2" t="s">
        <v>152</v>
      </c>
      <c r="F853" s="6">
        <v>2002</v>
      </c>
      <c r="G853" s="6">
        <v>5</v>
      </c>
      <c r="H853" s="7">
        <v>30</v>
      </c>
      <c r="I853" s="6">
        <v>5</v>
      </c>
      <c r="J853" s="6">
        <v>2</v>
      </c>
      <c r="K853" s="6">
        <v>1</v>
      </c>
      <c r="L853" s="6">
        <v>15</v>
      </c>
      <c r="M853" s="6">
        <v>342173</v>
      </c>
      <c r="N853" s="6">
        <v>6843460</v>
      </c>
      <c r="O853" s="6">
        <v>90</v>
      </c>
      <c r="P853" s="7">
        <v>10391.918</v>
      </c>
      <c r="Q853" s="7">
        <v>43695.345000000001</v>
      </c>
      <c r="R853" s="9">
        <f>D853*VLOOKUP(1001,적!$A$4:$D$13,3,FALSE)</f>
        <v>1300467.391328</v>
      </c>
      <c r="S853" s="9">
        <f>D853*VLOOKUP(F853,보스!$A$4:$E$5,4,FALSE)</f>
        <v>46816826.087807998</v>
      </c>
    </row>
    <row r="854" spans="1:19" ht="21.95" customHeight="1">
      <c r="A854" s="6">
        <v>5851</v>
      </c>
      <c r="B854" s="2" t="s">
        <v>1002</v>
      </c>
      <c r="C854" s="6">
        <v>851</v>
      </c>
      <c r="D854" s="7">
        <v>652725.92070000002</v>
      </c>
      <c r="E854" s="2" t="s">
        <v>152</v>
      </c>
      <c r="F854" s="6">
        <v>2001</v>
      </c>
      <c r="G854" s="6">
        <v>5</v>
      </c>
      <c r="H854" s="7">
        <v>30</v>
      </c>
      <c r="I854" s="6">
        <v>5</v>
      </c>
      <c r="J854" s="6">
        <v>2</v>
      </c>
      <c r="K854" s="6">
        <v>1</v>
      </c>
      <c r="L854" s="6">
        <v>15</v>
      </c>
      <c r="M854" s="6">
        <v>342579</v>
      </c>
      <c r="N854" s="6">
        <v>6851580</v>
      </c>
      <c r="O854" s="6">
        <v>90</v>
      </c>
      <c r="P854" s="7">
        <v>10414.629000000001</v>
      </c>
      <c r="Q854" s="7">
        <v>43790.836499999998</v>
      </c>
      <c r="R854" s="9">
        <f>D854*VLOOKUP(1001,적!$A$4:$D$13,3,FALSE)</f>
        <v>1305451.8414</v>
      </c>
      <c r="S854" s="9">
        <f>D854*VLOOKUP(F854,보스!$A$4:$E$5,4,FALSE)</f>
        <v>46996266.290399998</v>
      </c>
    </row>
    <row r="855" spans="1:19" ht="21.95" customHeight="1">
      <c r="A855" s="6">
        <v>5852</v>
      </c>
      <c r="B855" s="2" t="s">
        <v>1003</v>
      </c>
      <c r="C855" s="6">
        <v>852</v>
      </c>
      <c r="D855" s="7">
        <v>655225.55912215996</v>
      </c>
      <c r="E855" s="2" t="s">
        <v>152</v>
      </c>
      <c r="F855" s="6">
        <v>2002</v>
      </c>
      <c r="G855" s="6">
        <v>5</v>
      </c>
      <c r="H855" s="7">
        <v>30</v>
      </c>
      <c r="I855" s="6">
        <v>5</v>
      </c>
      <c r="J855" s="6">
        <v>2</v>
      </c>
      <c r="K855" s="6">
        <v>1</v>
      </c>
      <c r="L855" s="6">
        <v>15</v>
      </c>
      <c r="M855" s="6">
        <v>342985</v>
      </c>
      <c r="N855" s="6">
        <v>6859700</v>
      </c>
      <c r="O855" s="6">
        <v>90</v>
      </c>
      <c r="P855" s="7">
        <v>10437.36464</v>
      </c>
      <c r="Q855" s="7">
        <v>43886.431600000004</v>
      </c>
      <c r="R855" s="9">
        <f>D855*VLOOKUP(1001,적!$A$4:$D$13,3,FALSE)</f>
        <v>1310451.1182443199</v>
      </c>
      <c r="S855" s="9">
        <f>D855*VLOOKUP(F855,보스!$A$4:$E$5,4,FALSE)</f>
        <v>47176240.256795518</v>
      </c>
    </row>
    <row r="856" spans="1:19" ht="21.95" customHeight="1">
      <c r="A856" s="6">
        <v>5853</v>
      </c>
      <c r="B856" s="2" t="s">
        <v>1004</v>
      </c>
      <c r="C856" s="6">
        <v>853</v>
      </c>
      <c r="D856" s="7">
        <v>657732.62642560003</v>
      </c>
      <c r="E856" s="2" t="s">
        <v>152</v>
      </c>
      <c r="F856" s="6">
        <v>2001</v>
      </c>
      <c r="G856" s="6">
        <v>5</v>
      </c>
      <c r="H856" s="7">
        <v>30</v>
      </c>
      <c r="I856" s="6">
        <v>5</v>
      </c>
      <c r="J856" s="6">
        <v>2</v>
      </c>
      <c r="K856" s="6">
        <v>1</v>
      </c>
      <c r="L856" s="6">
        <v>15</v>
      </c>
      <c r="M856" s="6">
        <v>343391</v>
      </c>
      <c r="N856" s="6">
        <v>6867820</v>
      </c>
      <c r="O856" s="6">
        <v>90</v>
      </c>
      <c r="P856" s="7">
        <v>10460.12492</v>
      </c>
      <c r="Q856" s="7">
        <v>43982.130299999997</v>
      </c>
      <c r="R856" s="9">
        <f>D856*VLOOKUP(1001,적!$A$4:$D$13,3,FALSE)</f>
        <v>1315465.2528512001</v>
      </c>
      <c r="S856" s="9">
        <f>D856*VLOOKUP(F856,보스!$A$4:$E$5,4,FALSE)</f>
        <v>47356749.102643199</v>
      </c>
    </row>
    <row r="857" spans="1:19" ht="21.95" customHeight="1">
      <c r="A857" s="6">
        <v>5854</v>
      </c>
      <c r="B857" s="2" t="s">
        <v>1005</v>
      </c>
      <c r="C857" s="6">
        <v>854</v>
      </c>
      <c r="D857" s="7">
        <v>660247.13812271995</v>
      </c>
      <c r="E857" s="2" t="s">
        <v>152</v>
      </c>
      <c r="F857" s="6">
        <v>2002</v>
      </c>
      <c r="G857" s="6">
        <v>5</v>
      </c>
      <c r="H857" s="7">
        <v>30</v>
      </c>
      <c r="I857" s="6">
        <v>5</v>
      </c>
      <c r="J857" s="6">
        <v>2</v>
      </c>
      <c r="K857" s="6">
        <v>1</v>
      </c>
      <c r="L857" s="6">
        <v>15</v>
      </c>
      <c r="M857" s="6">
        <v>343797</v>
      </c>
      <c r="N857" s="6">
        <v>6875940</v>
      </c>
      <c r="O857" s="6">
        <v>90</v>
      </c>
      <c r="P857" s="7">
        <v>10482.90984</v>
      </c>
      <c r="Q857" s="7">
        <v>44077.9326</v>
      </c>
      <c r="R857" s="9">
        <f>D857*VLOOKUP(1001,적!$A$4:$D$13,3,FALSE)</f>
        <v>1320494.2762454399</v>
      </c>
      <c r="S857" s="9">
        <f>D857*VLOOKUP(F857,보스!$A$4:$E$5,4,FALSE)</f>
        <v>47537793.944835834</v>
      </c>
    </row>
    <row r="858" spans="1:19" ht="21.95" customHeight="1">
      <c r="A858" s="6">
        <v>5855</v>
      </c>
      <c r="B858" s="2" t="s">
        <v>1006</v>
      </c>
      <c r="C858" s="6">
        <v>855</v>
      </c>
      <c r="D858" s="7">
        <v>662769.10974320001</v>
      </c>
      <c r="E858" s="2" t="s">
        <v>152</v>
      </c>
      <c r="F858" s="6">
        <v>2001</v>
      </c>
      <c r="G858" s="6">
        <v>5</v>
      </c>
      <c r="H858" s="7">
        <v>30</v>
      </c>
      <c r="I858" s="6">
        <v>5</v>
      </c>
      <c r="J858" s="6">
        <v>2</v>
      </c>
      <c r="K858" s="6">
        <v>1</v>
      </c>
      <c r="L858" s="6">
        <v>15</v>
      </c>
      <c r="M858" s="6">
        <v>344203</v>
      </c>
      <c r="N858" s="6">
        <v>6884060</v>
      </c>
      <c r="O858" s="6">
        <v>90</v>
      </c>
      <c r="P858" s="7">
        <v>10505.7194</v>
      </c>
      <c r="Q858" s="7">
        <v>44173.838499999998</v>
      </c>
      <c r="R858" s="9">
        <f>D858*VLOOKUP(1001,적!$A$4:$D$13,3,FALSE)</f>
        <v>1325538.2194864</v>
      </c>
      <c r="S858" s="9">
        <f>D858*VLOOKUP(F858,보스!$A$4:$E$5,4,FALSE)</f>
        <v>47719375.901510403</v>
      </c>
    </row>
    <row r="859" spans="1:19" ht="21.95" customHeight="1">
      <c r="A859" s="6">
        <v>5856</v>
      </c>
      <c r="B859" s="2" t="s">
        <v>1007</v>
      </c>
      <c r="C859" s="6">
        <v>856</v>
      </c>
      <c r="D859" s="7">
        <v>665298.55683400005</v>
      </c>
      <c r="E859" s="2" t="s">
        <v>152</v>
      </c>
      <c r="F859" s="6">
        <v>2002</v>
      </c>
      <c r="G859" s="6">
        <v>5</v>
      </c>
      <c r="H859" s="7">
        <v>30</v>
      </c>
      <c r="I859" s="6">
        <v>5</v>
      </c>
      <c r="J859" s="6">
        <v>2</v>
      </c>
      <c r="K859" s="6">
        <v>1</v>
      </c>
      <c r="L859" s="6">
        <v>15</v>
      </c>
      <c r="M859" s="6">
        <v>344609</v>
      </c>
      <c r="N859" s="6">
        <v>6892180</v>
      </c>
      <c r="O859" s="6">
        <v>90</v>
      </c>
      <c r="P859" s="7">
        <v>10528.553599999999</v>
      </c>
      <c r="Q859" s="7">
        <v>44269.847999999998</v>
      </c>
      <c r="R859" s="9">
        <f>D859*VLOOKUP(1001,적!$A$4:$D$13,3,FALSE)</f>
        <v>1330597.1136680001</v>
      </c>
      <c r="S859" s="9">
        <f>D859*VLOOKUP(F859,보스!$A$4:$E$5,4,FALSE)</f>
        <v>47901496.092048004</v>
      </c>
    </row>
    <row r="860" spans="1:19" ht="21.95" customHeight="1">
      <c r="A860" s="6">
        <v>5857</v>
      </c>
      <c r="B860" s="2" t="s">
        <v>1008</v>
      </c>
      <c r="C860" s="6">
        <v>857</v>
      </c>
      <c r="D860" s="7">
        <v>667835.49495935999</v>
      </c>
      <c r="E860" s="2" t="s">
        <v>152</v>
      </c>
      <c r="F860" s="6">
        <v>2001</v>
      </c>
      <c r="G860" s="6">
        <v>5</v>
      </c>
      <c r="H860" s="7">
        <v>30</v>
      </c>
      <c r="I860" s="6">
        <v>5</v>
      </c>
      <c r="J860" s="6">
        <v>2</v>
      </c>
      <c r="K860" s="6">
        <v>1</v>
      </c>
      <c r="L860" s="6">
        <v>15</v>
      </c>
      <c r="M860" s="6">
        <v>345015</v>
      </c>
      <c r="N860" s="6">
        <v>6900300</v>
      </c>
      <c r="O860" s="6">
        <v>90</v>
      </c>
      <c r="P860" s="7">
        <v>10551.41244</v>
      </c>
      <c r="Q860" s="7">
        <v>44365.9611</v>
      </c>
      <c r="R860" s="9">
        <f>D860*VLOOKUP(1001,적!$A$4:$D$13,3,FALSE)</f>
        <v>1335670.98991872</v>
      </c>
      <c r="S860" s="9">
        <f>D860*VLOOKUP(F860,보스!$A$4:$E$5,4,FALSE)</f>
        <v>48084155.637073919</v>
      </c>
    </row>
    <row r="861" spans="1:19" ht="21.95" customHeight="1">
      <c r="A861" s="6">
        <v>5858</v>
      </c>
      <c r="B861" s="2" t="s">
        <v>1009</v>
      </c>
      <c r="C861" s="6">
        <v>858</v>
      </c>
      <c r="D861" s="7">
        <v>670379.93970079999</v>
      </c>
      <c r="E861" s="2" t="s">
        <v>152</v>
      </c>
      <c r="F861" s="6">
        <v>2002</v>
      </c>
      <c r="G861" s="6">
        <v>5</v>
      </c>
      <c r="H861" s="7">
        <v>30</v>
      </c>
      <c r="I861" s="6">
        <v>5</v>
      </c>
      <c r="J861" s="6">
        <v>2</v>
      </c>
      <c r="K861" s="6">
        <v>1</v>
      </c>
      <c r="L861" s="6">
        <v>15</v>
      </c>
      <c r="M861" s="6">
        <v>345421</v>
      </c>
      <c r="N861" s="6">
        <v>6908420</v>
      </c>
      <c r="O861" s="6">
        <v>90</v>
      </c>
      <c r="P861" s="7">
        <v>10574.29592</v>
      </c>
      <c r="Q861" s="7">
        <v>44462.177799999998</v>
      </c>
      <c r="R861" s="9">
        <f>D861*VLOOKUP(1001,적!$A$4:$D$13,3,FALSE)</f>
        <v>1340759.8794016</v>
      </c>
      <c r="S861" s="9">
        <f>D861*VLOOKUP(F861,보스!$A$4:$E$5,4,FALSE)</f>
        <v>48267355.6584576</v>
      </c>
    </row>
    <row r="862" spans="1:19" ht="21.95" customHeight="1">
      <c r="A862" s="6">
        <v>5859</v>
      </c>
      <c r="B862" s="2" t="s">
        <v>1010</v>
      </c>
      <c r="C862" s="6">
        <v>859</v>
      </c>
      <c r="D862" s="7">
        <v>672931.90665711998</v>
      </c>
      <c r="E862" s="2" t="s">
        <v>152</v>
      </c>
      <c r="F862" s="6">
        <v>2001</v>
      </c>
      <c r="G862" s="6">
        <v>5</v>
      </c>
      <c r="H862" s="7">
        <v>30</v>
      </c>
      <c r="I862" s="6">
        <v>5</v>
      </c>
      <c r="J862" s="6">
        <v>2</v>
      </c>
      <c r="K862" s="6">
        <v>1</v>
      </c>
      <c r="L862" s="6">
        <v>15</v>
      </c>
      <c r="M862" s="6">
        <v>345827</v>
      </c>
      <c r="N862" s="6">
        <v>6916540</v>
      </c>
      <c r="O862" s="6">
        <v>90</v>
      </c>
      <c r="P862" s="7">
        <v>10597.204040000001</v>
      </c>
      <c r="Q862" s="7">
        <v>44558.498099999997</v>
      </c>
      <c r="R862" s="9">
        <f>D862*VLOOKUP(1001,적!$A$4:$D$13,3,FALSE)</f>
        <v>1345863.81331424</v>
      </c>
      <c r="S862" s="9">
        <f>D862*VLOOKUP(F862,보스!$A$4:$E$5,4,FALSE)</f>
        <v>48451097.27931264</v>
      </c>
    </row>
    <row r="863" spans="1:19" ht="21.95" customHeight="1">
      <c r="A863" s="6">
        <v>5860</v>
      </c>
      <c r="B863" s="2" t="s">
        <v>1011</v>
      </c>
      <c r="C863" s="6">
        <v>860</v>
      </c>
      <c r="D863" s="7">
        <v>675491.41144439997</v>
      </c>
      <c r="E863" s="2" t="s">
        <v>152</v>
      </c>
      <c r="F863" s="6">
        <v>2002</v>
      </c>
      <c r="G863" s="6">
        <v>5</v>
      </c>
      <c r="H863" s="7">
        <v>30</v>
      </c>
      <c r="I863" s="6">
        <v>5</v>
      </c>
      <c r="J863" s="6">
        <v>2</v>
      </c>
      <c r="K863" s="6">
        <v>1</v>
      </c>
      <c r="L863" s="6">
        <v>15</v>
      </c>
      <c r="M863" s="6">
        <v>346233</v>
      </c>
      <c r="N863" s="6">
        <v>6924660</v>
      </c>
      <c r="O863" s="6">
        <v>91</v>
      </c>
      <c r="P863" s="7">
        <v>10620.1368</v>
      </c>
      <c r="Q863" s="7">
        <v>44654.921999999999</v>
      </c>
      <c r="R863" s="9">
        <f>D863*VLOOKUP(1001,적!$A$4:$D$13,3,FALSE)</f>
        <v>1350982.8228887999</v>
      </c>
      <c r="S863" s="9">
        <f>D863*VLOOKUP(F863,보스!$A$4:$E$5,4,FALSE)</f>
        <v>48635381.623996794</v>
      </c>
    </row>
    <row r="864" spans="1:19" ht="21.95" customHeight="1">
      <c r="A864" s="6">
        <v>5861</v>
      </c>
      <c r="B864" s="2" t="s">
        <v>1012</v>
      </c>
      <c r="C864" s="6">
        <v>861</v>
      </c>
      <c r="D864" s="7">
        <v>678058.46969599999</v>
      </c>
      <c r="E864" s="2" t="s">
        <v>152</v>
      </c>
      <c r="F864" s="6">
        <v>2001</v>
      </c>
      <c r="G864" s="6">
        <v>5</v>
      </c>
      <c r="H864" s="7">
        <v>30</v>
      </c>
      <c r="I864" s="6">
        <v>5</v>
      </c>
      <c r="J864" s="6">
        <v>2</v>
      </c>
      <c r="K864" s="6">
        <v>1</v>
      </c>
      <c r="L864" s="6">
        <v>15</v>
      </c>
      <c r="M864" s="6">
        <v>346639</v>
      </c>
      <c r="N864" s="6">
        <v>6932780</v>
      </c>
      <c r="O864" s="6">
        <v>91</v>
      </c>
      <c r="P864" s="7">
        <v>10643.0942</v>
      </c>
      <c r="Q864" s="7">
        <v>44751.449500000002</v>
      </c>
      <c r="R864" s="9">
        <f>D864*VLOOKUP(1001,적!$A$4:$D$13,3,FALSE)</f>
        <v>1356116.939392</v>
      </c>
      <c r="S864" s="9">
        <f>D864*VLOOKUP(F864,보스!$A$4:$E$5,4,FALSE)</f>
        <v>48820209.818112001</v>
      </c>
    </row>
    <row r="865" spans="1:19" ht="21.95" customHeight="1">
      <c r="A865" s="6">
        <v>5862</v>
      </c>
      <c r="B865" s="2" t="s">
        <v>1013</v>
      </c>
      <c r="C865" s="6">
        <v>862</v>
      </c>
      <c r="D865" s="7">
        <v>680633.09706256003</v>
      </c>
      <c r="E865" s="2" t="s">
        <v>152</v>
      </c>
      <c r="F865" s="6">
        <v>2002</v>
      </c>
      <c r="G865" s="6">
        <v>5</v>
      </c>
      <c r="H865" s="7">
        <v>30</v>
      </c>
      <c r="I865" s="6">
        <v>5</v>
      </c>
      <c r="J865" s="6">
        <v>2</v>
      </c>
      <c r="K865" s="6">
        <v>1</v>
      </c>
      <c r="L865" s="6">
        <v>15</v>
      </c>
      <c r="M865" s="6">
        <v>347045</v>
      </c>
      <c r="N865" s="6">
        <v>6940900</v>
      </c>
      <c r="O865" s="6">
        <v>91</v>
      </c>
      <c r="P865" s="7">
        <v>10666.07624</v>
      </c>
      <c r="Q865" s="7">
        <v>44848.080600000001</v>
      </c>
      <c r="R865" s="9">
        <f>D865*VLOOKUP(1001,적!$A$4:$D$13,3,FALSE)</f>
        <v>1361266.1941251201</v>
      </c>
      <c r="S865" s="9">
        <f>D865*VLOOKUP(F865,보스!$A$4:$E$5,4,FALSE)</f>
        <v>49005582.98850432</v>
      </c>
    </row>
    <row r="866" spans="1:19" ht="21.95" customHeight="1">
      <c r="A866" s="6">
        <v>5863</v>
      </c>
      <c r="B866" s="2" t="s">
        <v>1014</v>
      </c>
      <c r="C866" s="6">
        <v>863</v>
      </c>
      <c r="D866" s="7">
        <v>683215.30921199999</v>
      </c>
      <c r="E866" s="2" t="s">
        <v>152</v>
      </c>
      <c r="F866" s="6">
        <v>2001</v>
      </c>
      <c r="G866" s="6">
        <v>5</v>
      </c>
      <c r="H866" s="7">
        <v>30</v>
      </c>
      <c r="I866" s="6">
        <v>5</v>
      </c>
      <c r="J866" s="6">
        <v>2</v>
      </c>
      <c r="K866" s="6">
        <v>1</v>
      </c>
      <c r="L866" s="6">
        <v>15</v>
      </c>
      <c r="M866" s="6">
        <v>347451</v>
      </c>
      <c r="N866" s="6">
        <v>6949020</v>
      </c>
      <c r="O866" s="6">
        <v>91</v>
      </c>
      <c r="P866" s="7">
        <v>10689.082920000001</v>
      </c>
      <c r="Q866" s="7">
        <v>44944.815300000002</v>
      </c>
      <c r="R866" s="9">
        <f>D866*VLOOKUP(1001,적!$A$4:$D$13,3,FALSE)</f>
        <v>1366430.618424</v>
      </c>
      <c r="S866" s="9">
        <f>D866*VLOOKUP(F866,보스!$A$4:$E$5,4,FALSE)</f>
        <v>49191502.263264</v>
      </c>
    </row>
    <row r="867" spans="1:19" ht="21.95" customHeight="1">
      <c r="A867" s="6">
        <v>5864</v>
      </c>
      <c r="B867" s="2" t="s">
        <v>1015</v>
      </c>
      <c r="C867" s="6">
        <v>864</v>
      </c>
      <c r="D867" s="7">
        <v>685805.12182951998</v>
      </c>
      <c r="E867" s="2" t="s">
        <v>152</v>
      </c>
      <c r="F867" s="6">
        <v>2002</v>
      </c>
      <c r="G867" s="6">
        <v>5</v>
      </c>
      <c r="H867" s="7">
        <v>30</v>
      </c>
      <c r="I867" s="6">
        <v>5</v>
      </c>
      <c r="J867" s="6">
        <v>2</v>
      </c>
      <c r="K867" s="6">
        <v>1</v>
      </c>
      <c r="L867" s="6">
        <v>15</v>
      </c>
      <c r="M867" s="6">
        <v>347857</v>
      </c>
      <c r="N867" s="6">
        <v>6957140</v>
      </c>
      <c r="O867" s="6">
        <v>91</v>
      </c>
      <c r="P867" s="7">
        <v>10712.114240000001</v>
      </c>
      <c r="Q867" s="7">
        <v>45041.653599999998</v>
      </c>
      <c r="R867" s="9">
        <f>D867*VLOOKUP(1001,적!$A$4:$D$13,3,FALSE)</f>
        <v>1371610.24365904</v>
      </c>
      <c r="S867" s="9">
        <f>D867*VLOOKUP(F867,보스!$A$4:$E$5,4,FALSE)</f>
        <v>49377968.771725439</v>
      </c>
    </row>
    <row r="868" spans="1:19" ht="21.95" customHeight="1">
      <c r="A868" s="6">
        <v>5865</v>
      </c>
      <c r="B868" s="2" t="s">
        <v>1016</v>
      </c>
      <c r="C868" s="6">
        <v>865</v>
      </c>
      <c r="D868" s="7">
        <v>688402.55061759998</v>
      </c>
      <c r="E868" s="2" t="s">
        <v>152</v>
      </c>
      <c r="F868" s="6">
        <v>2001</v>
      </c>
      <c r="G868" s="6">
        <v>5</v>
      </c>
      <c r="H868" s="7">
        <v>30</v>
      </c>
      <c r="I868" s="6">
        <v>5</v>
      </c>
      <c r="J868" s="6">
        <v>2</v>
      </c>
      <c r="K868" s="6">
        <v>1</v>
      </c>
      <c r="L868" s="6">
        <v>15</v>
      </c>
      <c r="M868" s="6">
        <v>348263</v>
      </c>
      <c r="N868" s="6">
        <v>6965260</v>
      </c>
      <c r="O868" s="6">
        <v>91</v>
      </c>
      <c r="P868" s="7">
        <v>10735.1702</v>
      </c>
      <c r="Q868" s="7">
        <v>45138.595500000003</v>
      </c>
      <c r="R868" s="9">
        <f>D868*VLOOKUP(1001,적!$A$4:$D$13,3,FALSE)</f>
        <v>1376805.1012352</v>
      </c>
      <c r="S868" s="9">
        <f>D868*VLOOKUP(F868,보스!$A$4:$E$5,4,FALSE)</f>
        <v>49564983.644467197</v>
      </c>
    </row>
    <row r="869" spans="1:19" ht="21.95" customHeight="1">
      <c r="A869" s="6">
        <v>5866</v>
      </c>
      <c r="B869" s="2" t="s">
        <v>1017</v>
      </c>
      <c r="C869" s="6">
        <v>866</v>
      </c>
      <c r="D869" s="7">
        <v>691007.61129599996</v>
      </c>
      <c r="E869" s="2" t="s">
        <v>152</v>
      </c>
      <c r="F869" s="6">
        <v>2002</v>
      </c>
      <c r="G869" s="6">
        <v>5</v>
      </c>
      <c r="H869" s="7">
        <v>30</v>
      </c>
      <c r="I869" s="6">
        <v>5</v>
      </c>
      <c r="J869" s="6">
        <v>2</v>
      </c>
      <c r="K869" s="6">
        <v>1</v>
      </c>
      <c r="L869" s="6">
        <v>15</v>
      </c>
      <c r="M869" s="6">
        <v>348669</v>
      </c>
      <c r="N869" s="6">
        <v>6973380</v>
      </c>
      <c r="O869" s="6">
        <v>91</v>
      </c>
      <c r="P869" s="7">
        <v>10758.2508</v>
      </c>
      <c r="Q869" s="7">
        <v>45235.641000000003</v>
      </c>
      <c r="R869" s="9">
        <f>D869*VLOOKUP(1001,적!$A$4:$D$13,3,FALSE)</f>
        <v>1382015.2225919999</v>
      </c>
      <c r="S869" s="9">
        <f>D869*VLOOKUP(F869,보스!$A$4:$E$5,4,FALSE)</f>
        <v>49752548.013311997</v>
      </c>
    </row>
    <row r="870" spans="1:19" ht="21.95" customHeight="1">
      <c r="A870" s="6">
        <v>5867</v>
      </c>
      <c r="B870" s="2" t="s">
        <v>1018</v>
      </c>
      <c r="C870" s="6">
        <v>867</v>
      </c>
      <c r="D870" s="7">
        <v>693620.31960176001</v>
      </c>
      <c r="E870" s="2" t="s">
        <v>152</v>
      </c>
      <c r="F870" s="6">
        <v>2001</v>
      </c>
      <c r="G870" s="6">
        <v>5</v>
      </c>
      <c r="H870" s="7">
        <v>30</v>
      </c>
      <c r="I870" s="6">
        <v>5</v>
      </c>
      <c r="J870" s="6">
        <v>2</v>
      </c>
      <c r="K870" s="6">
        <v>1</v>
      </c>
      <c r="L870" s="6">
        <v>15</v>
      </c>
      <c r="M870" s="6">
        <v>349075</v>
      </c>
      <c r="N870" s="6">
        <v>6981500</v>
      </c>
      <c r="O870" s="6">
        <v>91</v>
      </c>
      <c r="P870" s="7">
        <v>10781.356040000001</v>
      </c>
      <c r="Q870" s="7">
        <v>45332.790099999998</v>
      </c>
      <c r="R870" s="9">
        <f>D870*VLOOKUP(1001,적!$A$4:$D$13,3,FALSE)</f>
        <v>1387240.63920352</v>
      </c>
      <c r="S870" s="9">
        <f>D870*VLOOKUP(F870,보스!$A$4:$E$5,4,FALSE)</f>
        <v>49940663.011326723</v>
      </c>
    </row>
    <row r="871" spans="1:19" ht="21.95" customHeight="1">
      <c r="A871" s="6">
        <v>5868</v>
      </c>
      <c r="B871" s="2" t="s">
        <v>1019</v>
      </c>
      <c r="C871" s="6">
        <v>868</v>
      </c>
      <c r="D871" s="7">
        <v>696240.69128919998</v>
      </c>
      <c r="E871" s="2" t="s">
        <v>152</v>
      </c>
      <c r="F871" s="6">
        <v>2002</v>
      </c>
      <c r="G871" s="6">
        <v>5</v>
      </c>
      <c r="H871" s="7">
        <v>30</v>
      </c>
      <c r="I871" s="6">
        <v>5</v>
      </c>
      <c r="J871" s="6">
        <v>2</v>
      </c>
      <c r="K871" s="6">
        <v>1</v>
      </c>
      <c r="L871" s="6">
        <v>15</v>
      </c>
      <c r="M871" s="6">
        <v>349481</v>
      </c>
      <c r="N871" s="6">
        <v>6989620</v>
      </c>
      <c r="O871" s="6">
        <v>91</v>
      </c>
      <c r="P871" s="7">
        <v>10804.485919999999</v>
      </c>
      <c r="Q871" s="7">
        <v>45430.042800000003</v>
      </c>
      <c r="R871" s="9">
        <f>D871*VLOOKUP(1001,적!$A$4:$D$13,3,FALSE)</f>
        <v>1392481.3825784</v>
      </c>
      <c r="S871" s="9">
        <f>D871*VLOOKUP(F871,보스!$A$4:$E$5,4,FALSE)</f>
        <v>50129329.772822395</v>
      </c>
    </row>
    <row r="872" spans="1:19" ht="21.95" customHeight="1">
      <c r="A872" s="6">
        <v>5869</v>
      </c>
      <c r="B872" s="2" t="s">
        <v>1020</v>
      </c>
      <c r="C872" s="6">
        <v>869</v>
      </c>
      <c r="D872" s="7">
        <v>698868.74212992005</v>
      </c>
      <c r="E872" s="2" t="s">
        <v>152</v>
      </c>
      <c r="F872" s="6">
        <v>2001</v>
      </c>
      <c r="G872" s="6">
        <v>5</v>
      </c>
      <c r="H872" s="7">
        <v>30</v>
      </c>
      <c r="I872" s="6">
        <v>5</v>
      </c>
      <c r="J872" s="6">
        <v>2</v>
      </c>
      <c r="K872" s="6">
        <v>1</v>
      </c>
      <c r="L872" s="6">
        <v>15</v>
      </c>
      <c r="M872" s="6">
        <v>349887</v>
      </c>
      <c r="N872" s="6">
        <v>6997740</v>
      </c>
      <c r="O872" s="6">
        <v>91</v>
      </c>
      <c r="P872" s="7">
        <v>10827.640439999999</v>
      </c>
      <c r="Q872" s="7">
        <v>45527.399100000002</v>
      </c>
      <c r="R872" s="9">
        <f>D872*VLOOKUP(1001,적!$A$4:$D$13,3,FALSE)</f>
        <v>1397737.4842598401</v>
      </c>
      <c r="S872" s="9">
        <f>D872*VLOOKUP(F872,보스!$A$4:$E$5,4,FALSE)</f>
        <v>50318549.433354244</v>
      </c>
    </row>
    <row r="873" spans="1:19" ht="21.95" customHeight="1">
      <c r="A873" s="6">
        <v>5870</v>
      </c>
      <c r="B873" s="2" t="s">
        <v>1021</v>
      </c>
      <c r="C873" s="6">
        <v>870</v>
      </c>
      <c r="D873" s="7">
        <v>701504.48791280005</v>
      </c>
      <c r="E873" s="2" t="s">
        <v>152</v>
      </c>
      <c r="F873" s="6">
        <v>2002</v>
      </c>
      <c r="G873" s="6">
        <v>5</v>
      </c>
      <c r="H873" s="7">
        <v>30</v>
      </c>
      <c r="I873" s="6">
        <v>5</v>
      </c>
      <c r="J873" s="6">
        <v>2</v>
      </c>
      <c r="K873" s="6">
        <v>1</v>
      </c>
      <c r="L873" s="6">
        <v>15</v>
      </c>
      <c r="M873" s="6">
        <v>350293</v>
      </c>
      <c r="N873" s="6">
        <v>7005860</v>
      </c>
      <c r="O873" s="6">
        <v>92</v>
      </c>
      <c r="P873" s="7">
        <v>10850.819600000001</v>
      </c>
      <c r="Q873" s="7">
        <v>45624.858999999997</v>
      </c>
      <c r="R873" s="9">
        <f>D873*VLOOKUP(1001,적!$A$4:$D$13,3,FALSE)</f>
        <v>1403008.9758256001</v>
      </c>
      <c r="S873" s="9">
        <f>D873*VLOOKUP(F873,보스!$A$4:$E$5,4,FALSE)</f>
        <v>50508323.129721604</v>
      </c>
    </row>
    <row r="874" spans="1:19" ht="21.95" customHeight="1">
      <c r="A874" s="6">
        <v>5871</v>
      </c>
      <c r="B874" s="2" t="s">
        <v>1022</v>
      </c>
      <c r="C874" s="6">
        <v>871</v>
      </c>
      <c r="D874" s="7">
        <v>704147.94444400002</v>
      </c>
      <c r="E874" s="2" t="s">
        <v>152</v>
      </c>
      <c r="F874" s="6">
        <v>2001</v>
      </c>
      <c r="G874" s="6">
        <v>5</v>
      </c>
      <c r="H874" s="7">
        <v>30</v>
      </c>
      <c r="I874" s="6">
        <v>5</v>
      </c>
      <c r="J874" s="6">
        <v>2</v>
      </c>
      <c r="K874" s="6">
        <v>1</v>
      </c>
      <c r="L874" s="6">
        <v>15</v>
      </c>
      <c r="M874" s="6">
        <v>350699</v>
      </c>
      <c r="N874" s="6">
        <v>7013980</v>
      </c>
      <c r="O874" s="6">
        <v>92</v>
      </c>
      <c r="P874" s="7">
        <v>10874.0234</v>
      </c>
      <c r="Q874" s="7">
        <v>45722.422500000001</v>
      </c>
      <c r="R874" s="9">
        <f>D874*VLOOKUP(1001,적!$A$4:$D$13,3,FALSE)</f>
        <v>1408295.888888</v>
      </c>
      <c r="S874" s="9">
        <f>D874*VLOOKUP(F874,보스!$A$4:$E$5,4,FALSE)</f>
        <v>50698651.999968</v>
      </c>
    </row>
    <row r="875" spans="1:19" ht="21.95" customHeight="1">
      <c r="A875" s="6">
        <v>5872</v>
      </c>
      <c r="B875" s="2" t="s">
        <v>1023</v>
      </c>
      <c r="C875" s="6">
        <v>872</v>
      </c>
      <c r="D875" s="7">
        <v>706799.12754696002</v>
      </c>
      <c r="E875" s="2" t="s">
        <v>152</v>
      </c>
      <c r="F875" s="6">
        <v>2002</v>
      </c>
      <c r="G875" s="6">
        <v>5</v>
      </c>
      <c r="H875" s="7">
        <v>30</v>
      </c>
      <c r="I875" s="6">
        <v>5</v>
      </c>
      <c r="J875" s="6">
        <v>2</v>
      </c>
      <c r="K875" s="6">
        <v>1</v>
      </c>
      <c r="L875" s="6">
        <v>15</v>
      </c>
      <c r="M875" s="6">
        <v>351105</v>
      </c>
      <c r="N875" s="6">
        <v>7022100</v>
      </c>
      <c r="O875" s="6">
        <v>92</v>
      </c>
      <c r="P875" s="7">
        <v>10897.251840000001</v>
      </c>
      <c r="Q875" s="7">
        <v>45820.089599999999</v>
      </c>
      <c r="R875" s="9">
        <f>D875*VLOOKUP(1001,적!$A$4:$D$13,3,FALSE)</f>
        <v>1413598.25509392</v>
      </c>
      <c r="S875" s="9">
        <f>D875*VLOOKUP(F875,보스!$A$4:$E$5,4,FALSE)</f>
        <v>50889537.183381125</v>
      </c>
    </row>
    <row r="876" spans="1:19" ht="21.95" customHeight="1">
      <c r="A876" s="6">
        <v>5873</v>
      </c>
      <c r="B876" s="2" t="s">
        <v>1024</v>
      </c>
      <c r="C876" s="6">
        <v>873</v>
      </c>
      <c r="D876" s="7">
        <v>709458.05306239997</v>
      </c>
      <c r="E876" s="2" t="s">
        <v>152</v>
      </c>
      <c r="F876" s="6">
        <v>2001</v>
      </c>
      <c r="G876" s="6">
        <v>5</v>
      </c>
      <c r="H876" s="7">
        <v>30</v>
      </c>
      <c r="I876" s="6">
        <v>5</v>
      </c>
      <c r="J876" s="6">
        <v>2</v>
      </c>
      <c r="K876" s="6">
        <v>1</v>
      </c>
      <c r="L876" s="6">
        <v>15</v>
      </c>
      <c r="M876" s="6">
        <v>351511</v>
      </c>
      <c r="N876" s="6">
        <v>7030220</v>
      </c>
      <c r="O876" s="6">
        <v>92</v>
      </c>
      <c r="P876" s="7">
        <v>10920.504919999999</v>
      </c>
      <c r="Q876" s="7">
        <v>45917.8603</v>
      </c>
      <c r="R876" s="9">
        <f>D876*VLOOKUP(1001,적!$A$4:$D$13,3,FALSE)</f>
        <v>1418916.1061247999</v>
      </c>
      <c r="S876" s="9">
        <f>D876*VLOOKUP(F876,보스!$A$4:$E$5,4,FALSE)</f>
        <v>51080979.820492797</v>
      </c>
    </row>
    <row r="877" spans="1:19" ht="21.95" customHeight="1">
      <c r="A877" s="6">
        <v>5874</v>
      </c>
      <c r="B877" s="2" t="s">
        <v>1025</v>
      </c>
      <c r="C877" s="6">
        <v>874</v>
      </c>
      <c r="D877" s="7">
        <v>712124.73684832</v>
      </c>
      <c r="E877" s="2" t="s">
        <v>152</v>
      </c>
      <c r="F877" s="6">
        <v>2002</v>
      </c>
      <c r="G877" s="6">
        <v>5</v>
      </c>
      <c r="H877" s="7">
        <v>30</v>
      </c>
      <c r="I877" s="6">
        <v>5</v>
      </c>
      <c r="J877" s="6">
        <v>2</v>
      </c>
      <c r="K877" s="6">
        <v>1</v>
      </c>
      <c r="L877" s="6">
        <v>15</v>
      </c>
      <c r="M877" s="6">
        <v>351917</v>
      </c>
      <c r="N877" s="6">
        <v>7038340</v>
      </c>
      <c r="O877" s="6">
        <v>92</v>
      </c>
      <c r="P877" s="7">
        <v>10943.782639999999</v>
      </c>
      <c r="Q877" s="7">
        <v>46015.734600000003</v>
      </c>
      <c r="R877" s="9">
        <f>D877*VLOOKUP(1001,적!$A$4:$D$13,3,FALSE)</f>
        <v>1424249.47369664</v>
      </c>
      <c r="S877" s="9">
        <f>D877*VLOOKUP(F877,보스!$A$4:$E$5,4,FALSE)</f>
        <v>51272981.053079039</v>
      </c>
    </row>
    <row r="878" spans="1:19" ht="21.95" customHeight="1">
      <c r="A878" s="6">
        <v>5875</v>
      </c>
      <c r="B878" s="2" t="s">
        <v>1026</v>
      </c>
      <c r="C878" s="6">
        <v>875</v>
      </c>
      <c r="D878" s="7">
        <v>714799.19478000002</v>
      </c>
      <c r="E878" s="2" t="s">
        <v>152</v>
      </c>
      <c r="F878" s="6">
        <v>2001</v>
      </c>
      <c r="G878" s="6">
        <v>5</v>
      </c>
      <c r="H878" s="7">
        <v>30</v>
      </c>
      <c r="I878" s="6">
        <v>5</v>
      </c>
      <c r="J878" s="6">
        <v>2</v>
      </c>
      <c r="K878" s="6">
        <v>1</v>
      </c>
      <c r="L878" s="6">
        <v>15</v>
      </c>
      <c r="M878" s="6">
        <v>352323</v>
      </c>
      <c r="N878" s="6">
        <v>7046460</v>
      </c>
      <c r="O878" s="6">
        <v>92</v>
      </c>
      <c r="P878" s="7">
        <v>10967.084999999999</v>
      </c>
      <c r="Q878" s="7">
        <v>46113.712500000001</v>
      </c>
      <c r="R878" s="9">
        <f>D878*VLOOKUP(1001,적!$A$4:$D$13,3,FALSE)</f>
        <v>1429598.38956</v>
      </c>
      <c r="S878" s="9">
        <f>D878*VLOOKUP(F878,보스!$A$4:$E$5,4,FALSE)</f>
        <v>51465542.024159998</v>
      </c>
    </row>
    <row r="879" spans="1:19" ht="21.95" customHeight="1">
      <c r="A879" s="6">
        <v>5876</v>
      </c>
      <c r="B879" s="2" t="s">
        <v>1027</v>
      </c>
      <c r="C879" s="6">
        <v>876</v>
      </c>
      <c r="D879" s="7">
        <v>717481.44275000005</v>
      </c>
      <c r="E879" s="2" t="s">
        <v>152</v>
      </c>
      <c r="F879" s="6">
        <v>2002</v>
      </c>
      <c r="G879" s="6">
        <v>5</v>
      </c>
      <c r="H879" s="7">
        <v>30</v>
      </c>
      <c r="I879" s="6">
        <v>5</v>
      </c>
      <c r="J879" s="6">
        <v>2</v>
      </c>
      <c r="K879" s="6">
        <v>1</v>
      </c>
      <c r="L879" s="6">
        <v>15</v>
      </c>
      <c r="M879" s="6">
        <v>352729</v>
      </c>
      <c r="N879" s="6">
        <v>7054580</v>
      </c>
      <c r="O879" s="6">
        <v>92</v>
      </c>
      <c r="P879" s="7">
        <v>10990.412</v>
      </c>
      <c r="Q879" s="7">
        <v>46211.794000000002</v>
      </c>
      <c r="R879" s="9">
        <f>D879*VLOOKUP(1001,적!$A$4:$D$13,3,FALSE)</f>
        <v>1434962.8855000001</v>
      </c>
      <c r="S879" s="9">
        <f>D879*VLOOKUP(F879,보스!$A$4:$E$5,4,FALSE)</f>
        <v>51658663.878000006</v>
      </c>
    </row>
    <row r="880" spans="1:19" ht="21.95" customHeight="1">
      <c r="A880" s="6">
        <v>5877</v>
      </c>
      <c r="B880" s="2" t="s">
        <v>1028</v>
      </c>
      <c r="C880" s="6">
        <v>877</v>
      </c>
      <c r="D880" s="7">
        <v>720171.49666815996</v>
      </c>
      <c r="E880" s="2" t="s">
        <v>152</v>
      </c>
      <c r="F880" s="6">
        <v>2001</v>
      </c>
      <c r="G880" s="6">
        <v>5</v>
      </c>
      <c r="H880" s="7">
        <v>30</v>
      </c>
      <c r="I880" s="6">
        <v>5</v>
      </c>
      <c r="J880" s="6">
        <v>2</v>
      </c>
      <c r="K880" s="6">
        <v>1</v>
      </c>
      <c r="L880" s="6">
        <v>15</v>
      </c>
      <c r="M880" s="6">
        <v>353135</v>
      </c>
      <c r="N880" s="6">
        <v>7062700</v>
      </c>
      <c r="O880" s="6">
        <v>92</v>
      </c>
      <c r="P880" s="7">
        <v>11013.763639999999</v>
      </c>
      <c r="Q880" s="7">
        <v>46309.979099999997</v>
      </c>
      <c r="R880" s="9">
        <f>D880*VLOOKUP(1001,적!$A$4:$D$13,3,FALSE)</f>
        <v>1440342.9933363199</v>
      </c>
      <c r="S880" s="9">
        <f>D880*VLOOKUP(F880,보스!$A$4:$E$5,4,FALSE)</f>
        <v>51852347.760107517</v>
      </c>
    </row>
    <row r="881" spans="1:19" ht="21.95" customHeight="1">
      <c r="A881" s="6">
        <v>5878</v>
      </c>
      <c r="B881" s="2" t="s">
        <v>1029</v>
      </c>
      <c r="C881" s="6">
        <v>878</v>
      </c>
      <c r="D881" s="7">
        <v>722869.3724616</v>
      </c>
      <c r="E881" s="2" t="s">
        <v>152</v>
      </c>
      <c r="F881" s="6">
        <v>2002</v>
      </c>
      <c r="G881" s="6">
        <v>5</v>
      </c>
      <c r="H881" s="7">
        <v>30</v>
      </c>
      <c r="I881" s="6">
        <v>5</v>
      </c>
      <c r="J881" s="6">
        <v>2</v>
      </c>
      <c r="K881" s="6">
        <v>1</v>
      </c>
      <c r="L881" s="6">
        <v>15</v>
      </c>
      <c r="M881" s="6">
        <v>353541</v>
      </c>
      <c r="N881" s="6">
        <v>7070820</v>
      </c>
      <c r="O881" s="6">
        <v>92</v>
      </c>
      <c r="P881" s="7">
        <v>11037.13992</v>
      </c>
      <c r="Q881" s="7">
        <v>46408.267800000001</v>
      </c>
      <c r="R881" s="9">
        <f>D881*VLOOKUP(1001,적!$A$4:$D$13,3,FALSE)</f>
        <v>1445738.7449232</v>
      </c>
      <c r="S881" s="9">
        <f>D881*VLOOKUP(F881,보스!$A$4:$E$5,4,FALSE)</f>
        <v>52046594.817235202</v>
      </c>
    </row>
    <row r="882" spans="1:19" ht="21.95" customHeight="1">
      <c r="A882" s="6">
        <v>5879</v>
      </c>
      <c r="B882" s="2" t="s">
        <v>1030</v>
      </c>
      <c r="C882" s="6">
        <v>879</v>
      </c>
      <c r="D882" s="7">
        <v>725575.08607472002</v>
      </c>
      <c r="E882" s="2" t="s">
        <v>152</v>
      </c>
      <c r="F882" s="6">
        <v>2001</v>
      </c>
      <c r="G882" s="6">
        <v>5</v>
      </c>
      <c r="H882" s="7">
        <v>30</v>
      </c>
      <c r="I882" s="6">
        <v>5</v>
      </c>
      <c r="J882" s="6">
        <v>2</v>
      </c>
      <c r="K882" s="6">
        <v>1</v>
      </c>
      <c r="L882" s="6">
        <v>15</v>
      </c>
      <c r="M882" s="6">
        <v>353947</v>
      </c>
      <c r="N882" s="6">
        <v>7078940</v>
      </c>
      <c r="O882" s="6">
        <v>92</v>
      </c>
      <c r="P882" s="7">
        <v>11060.54084</v>
      </c>
      <c r="Q882" s="7">
        <v>46506.660100000001</v>
      </c>
      <c r="R882" s="9">
        <f>D882*VLOOKUP(1001,적!$A$4:$D$13,3,FALSE)</f>
        <v>1451150.17214944</v>
      </c>
      <c r="S882" s="9">
        <f>D882*VLOOKUP(F882,보스!$A$4:$E$5,4,FALSE)</f>
        <v>52241406.197379842</v>
      </c>
    </row>
    <row r="883" spans="1:19" ht="21.95" customHeight="1">
      <c r="A883" s="6">
        <v>5880</v>
      </c>
      <c r="B883" s="2" t="s">
        <v>1031</v>
      </c>
      <c r="C883" s="6">
        <v>880</v>
      </c>
      <c r="D883" s="7">
        <v>728288.65346920001</v>
      </c>
      <c r="E883" s="2" t="s">
        <v>152</v>
      </c>
      <c r="F883" s="6">
        <v>2002</v>
      </c>
      <c r="G883" s="6">
        <v>5</v>
      </c>
      <c r="H883" s="7">
        <v>30</v>
      </c>
      <c r="I883" s="6">
        <v>5</v>
      </c>
      <c r="J883" s="6">
        <v>2</v>
      </c>
      <c r="K883" s="6">
        <v>1</v>
      </c>
      <c r="L883" s="6">
        <v>15</v>
      </c>
      <c r="M883" s="6">
        <v>354353</v>
      </c>
      <c r="N883" s="6">
        <v>7087060</v>
      </c>
      <c r="O883" s="6">
        <v>93</v>
      </c>
      <c r="P883" s="7">
        <v>11083.966399999999</v>
      </c>
      <c r="Q883" s="7">
        <v>46605.156000000003</v>
      </c>
      <c r="R883" s="9">
        <f>D883*VLOOKUP(1001,적!$A$4:$D$13,3,FALSE)</f>
        <v>1456577.3069384</v>
      </c>
      <c r="S883" s="9">
        <f>D883*VLOOKUP(F883,보스!$A$4:$E$5,4,FALSE)</f>
        <v>52436783.049782403</v>
      </c>
    </row>
    <row r="884" spans="1:19" ht="21.95" customHeight="1">
      <c r="A884" s="6">
        <v>5881</v>
      </c>
      <c r="B884" s="2" t="s">
        <v>1032</v>
      </c>
      <c r="C884" s="6">
        <v>881</v>
      </c>
      <c r="D884" s="7">
        <v>731010.09062399995</v>
      </c>
      <c r="E884" s="2" t="s">
        <v>152</v>
      </c>
      <c r="F884" s="6">
        <v>2001</v>
      </c>
      <c r="G884" s="6">
        <v>5</v>
      </c>
      <c r="H884" s="7">
        <v>30</v>
      </c>
      <c r="I884" s="6">
        <v>5</v>
      </c>
      <c r="J884" s="6">
        <v>2</v>
      </c>
      <c r="K884" s="6">
        <v>1</v>
      </c>
      <c r="L884" s="6">
        <v>15</v>
      </c>
      <c r="M884" s="6">
        <v>354759</v>
      </c>
      <c r="N884" s="6">
        <v>7095180</v>
      </c>
      <c r="O884" s="6">
        <v>93</v>
      </c>
      <c r="P884" s="7">
        <v>11107.4166</v>
      </c>
      <c r="Q884" s="7">
        <v>46703.755499999999</v>
      </c>
      <c r="R884" s="9">
        <f>D884*VLOOKUP(1001,적!$A$4:$D$13,3,FALSE)</f>
        <v>1462020.1812479999</v>
      </c>
      <c r="S884" s="9">
        <f>D884*VLOOKUP(F884,보스!$A$4:$E$5,4,FALSE)</f>
        <v>52632726.524927996</v>
      </c>
    </row>
    <row r="885" spans="1:19" ht="21.95" customHeight="1">
      <c r="A885" s="6">
        <v>5882</v>
      </c>
      <c r="B885" s="2" t="s">
        <v>1033</v>
      </c>
      <c r="C885" s="6">
        <v>882</v>
      </c>
      <c r="D885" s="7">
        <v>733739.41353536001</v>
      </c>
      <c r="E885" s="2" t="s">
        <v>152</v>
      </c>
      <c r="F885" s="6">
        <v>2002</v>
      </c>
      <c r="G885" s="6">
        <v>5</v>
      </c>
      <c r="H885" s="7">
        <v>30</v>
      </c>
      <c r="I885" s="6">
        <v>5</v>
      </c>
      <c r="J885" s="6">
        <v>2</v>
      </c>
      <c r="K885" s="6">
        <v>1</v>
      </c>
      <c r="L885" s="6">
        <v>15</v>
      </c>
      <c r="M885" s="6">
        <v>355165</v>
      </c>
      <c r="N885" s="6">
        <v>7103300</v>
      </c>
      <c r="O885" s="6">
        <v>93</v>
      </c>
      <c r="P885" s="7">
        <v>11130.891439999999</v>
      </c>
      <c r="Q885" s="7">
        <v>46802.458599999998</v>
      </c>
      <c r="R885" s="9">
        <f>D885*VLOOKUP(1001,적!$A$4:$D$13,3,FALSE)</f>
        <v>1467478.82707072</v>
      </c>
      <c r="S885" s="9">
        <f>D885*VLOOKUP(F885,보스!$A$4:$E$5,4,FALSE)</f>
        <v>52829237.774545923</v>
      </c>
    </row>
    <row r="886" spans="1:19" ht="21.95" customHeight="1">
      <c r="A886" s="6">
        <v>5883</v>
      </c>
      <c r="B886" s="2" t="s">
        <v>1034</v>
      </c>
      <c r="C886" s="6">
        <v>883</v>
      </c>
      <c r="D886" s="7">
        <v>736476.63821680006</v>
      </c>
      <c r="E886" s="2" t="s">
        <v>152</v>
      </c>
      <c r="F886" s="6">
        <v>2001</v>
      </c>
      <c r="G886" s="6">
        <v>5</v>
      </c>
      <c r="H886" s="7">
        <v>30</v>
      </c>
      <c r="I886" s="6">
        <v>5</v>
      </c>
      <c r="J886" s="6">
        <v>2</v>
      </c>
      <c r="K886" s="6">
        <v>1</v>
      </c>
      <c r="L886" s="6">
        <v>15</v>
      </c>
      <c r="M886" s="6">
        <v>355571</v>
      </c>
      <c r="N886" s="6">
        <v>7111420</v>
      </c>
      <c r="O886" s="6">
        <v>93</v>
      </c>
      <c r="P886" s="7">
        <v>11154.39092</v>
      </c>
      <c r="Q886" s="7">
        <v>46901.265299999999</v>
      </c>
      <c r="R886" s="9">
        <f>D886*VLOOKUP(1001,적!$A$4:$D$13,3,FALSE)</f>
        <v>1472953.2764336001</v>
      </c>
      <c r="S886" s="9">
        <f>D886*VLOOKUP(F886,보스!$A$4:$E$5,4,FALSE)</f>
        <v>53026317.951609604</v>
      </c>
    </row>
    <row r="887" spans="1:19" ht="21.95" customHeight="1">
      <c r="A887" s="6">
        <v>5884</v>
      </c>
      <c r="B887" s="2" t="s">
        <v>1035</v>
      </c>
      <c r="C887" s="6">
        <v>884</v>
      </c>
      <c r="D887" s="7">
        <v>739221.78069912002</v>
      </c>
      <c r="E887" s="2" t="s">
        <v>152</v>
      </c>
      <c r="F887" s="6">
        <v>2002</v>
      </c>
      <c r="G887" s="6">
        <v>5</v>
      </c>
      <c r="H887" s="7">
        <v>30</v>
      </c>
      <c r="I887" s="6">
        <v>5</v>
      </c>
      <c r="J887" s="6">
        <v>2</v>
      </c>
      <c r="K887" s="6">
        <v>1</v>
      </c>
      <c r="L887" s="6">
        <v>15</v>
      </c>
      <c r="M887" s="6">
        <v>355977</v>
      </c>
      <c r="N887" s="6">
        <v>7119540</v>
      </c>
      <c r="O887" s="6">
        <v>93</v>
      </c>
      <c r="P887" s="7">
        <v>11177.91504</v>
      </c>
      <c r="Q887" s="7">
        <v>47000.175600000002</v>
      </c>
      <c r="R887" s="9">
        <f>D887*VLOOKUP(1001,적!$A$4:$D$13,3,FALSE)</f>
        <v>1478443.56139824</v>
      </c>
      <c r="S887" s="9">
        <f>D887*VLOOKUP(F887,보스!$A$4:$E$5,4,FALSE)</f>
        <v>53223968.21033664</v>
      </c>
    </row>
    <row r="888" spans="1:19" ht="21.95" customHeight="1">
      <c r="A888" s="6">
        <v>5885</v>
      </c>
      <c r="B888" s="2" t="s">
        <v>1036</v>
      </c>
      <c r="C888" s="6">
        <v>885</v>
      </c>
      <c r="D888" s="7">
        <v>741974.85703039996</v>
      </c>
      <c r="E888" s="2" t="s">
        <v>152</v>
      </c>
      <c r="F888" s="6">
        <v>2001</v>
      </c>
      <c r="G888" s="6">
        <v>5</v>
      </c>
      <c r="H888" s="7">
        <v>30</v>
      </c>
      <c r="I888" s="6">
        <v>5</v>
      </c>
      <c r="J888" s="6">
        <v>2</v>
      </c>
      <c r="K888" s="6">
        <v>1</v>
      </c>
      <c r="L888" s="6">
        <v>15</v>
      </c>
      <c r="M888" s="6">
        <v>356383</v>
      </c>
      <c r="N888" s="6">
        <v>7127660</v>
      </c>
      <c r="O888" s="6">
        <v>93</v>
      </c>
      <c r="P888" s="7">
        <v>11201.4638</v>
      </c>
      <c r="Q888" s="7">
        <v>47099.1895</v>
      </c>
      <c r="R888" s="9">
        <f>D888*VLOOKUP(1001,적!$A$4:$D$13,3,FALSE)</f>
        <v>1483949.7140607999</v>
      </c>
      <c r="S888" s="9">
        <f>D888*VLOOKUP(F888,보스!$A$4:$E$5,4,FALSE)</f>
        <v>53422189.706188798</v>
      </c>
    </row>
    <row r="889" spans="1:19" ht="21.95" customHeight="1">
      <c r="A889" s="6">
        <v>5886</v>
      </c>
      <c r="B889" s="2" t="s">
        <v>1037</v>
      </c>
      <c r="C889" s="6">
        <v>886</v>
      </c>
      <c r="D889" s="7">
        <v>744735.88327600004</v>
      </c>
      <c r="E889" s="2" t="s">
        <v>152</v>
      </c>
      <c r="F889" s="6">
        <v>2002</v>
      </c>
      <c r="G889" s="6">
        <v>5</v>
      </c>
      <c r="H889" s="7">
        <v>30</v>
      </c>
      <c r="I889" s="6">
        <v>5</v>
      </c>
      <c r="J889" s="6">
        <v>2</v>
      </c>
      <c r="K889" s="6">
        <v>1</v>
      </c>
      <c r="L889" s="6">
        <v>15</v>
      </c>
      <c r="M889" s="6">
        <v>356789</v>
      </c>
      <c r="N889" s="6">
        <v>7135780</v>
      </c>
      <c r="O889" s="6">
        <v>93</v>
      </c>
      <c r="P889" s="7">
        <v>11225.037200000001</v>
      </c>
      <c r="Q889" s="7">
        <v>47198.307000000001</v>
      </c>
      <c r="R889" s="9">
        <f>D889*VLOOKUP(1001,적!$A$4:$D$13,3,FALSE)</f>
        <v>1489471.7665520001</v>
      </c>
      <c r="S889" s="9">
        <f>D889*VLOOKUP(F889,보스!$A$4:$E$5,4,FALSE)</f>
        <v>53620983.595872</v>
      </c>
    </row>
    <row r="890" spans="1:19" ht="21.95" customHeight="1">
      <c r="A890" s="6">
        <v>5887</v>
      </c>
      <c r="B890" s="2" t="s">
        <v>1038</v>
      </c>
      <c r="C890" s="6">
        <v>887</v>
      </c>
      <c r="D890" s="7">
        <v>747504.87551855994</v>
      </c>
      <c r="E890" s="2" t="s">
        <v>152</v>
      </c>
      <c r="F890" s="6">
        <v>2001</v>
      </c>
      <c r="G890" s="6">
        <v>5</v>
      </c>
      <c r="H890" s="7">
        <v>30</v>
      </c>
      <c r="I890" s="6">
        <v>5</v>
      </c>
      <c r="J890" s="6">
        <v>2</v>
      </c>
      <c r="K890" s="6">
        <v>1</v>
      </c>
      <c r="L890" s="6">
        <v>15</v>
      </c>
      <c r="M890" s="6">
        <v>357195</v>
      </c>
      <c r="N890" s="6">
        <v>7143900</v>
      </c>
      <c r="O890" s="6">
        <v>93</v>
      </c>
      <c r="P890" s="7">
        <v>11248.63524</v>
      </c>
      <c r="Q890" s="7">
        <v>47297.528100000003</v>
      </c>
      <c r="R890" s="9">
        <f>D890*VLOOKUP(1001,적!$A$4:$D$13,3,FALSE)</f>
        <v>1495009.7510371199</v>
      </c>
      <c r="S890" s="9">
        <f>D890*VLOOKUP(F890,보스!$A$4:$E$5,4,FALSE)</f>
        <v>53820351.03733632</v>
      </c>
    </row>
    <row r="891" spans="1:19" ht="21.95" customHeight="1">
      <c r="A891" s="6">
        <v>5888</v>
      </c>
      <c r="B891" s="2" t="s">
        <v>1039</v>
      </c>
      <c r="C891" s="6">
        <v>888</v>
      </c>
      <c r="D891" s="7">
        <v>750281.84985799994</v>
      </c>
      <c r="E891" s="2" t="s">
        <v>152</v>
      </c>
      <c r="F891" s="6">
        <v>2002</v>
      </c>
      <c r="G891" s="6">
        <v>5</v>
      </c>
      <c r="H891" s="7">
        <v>30</v>
      </c>
      <c r="I891" s="6">
        <v>5</v>
      </c>
      <c r="J891" s="6">
        <v>2</v>
      </c>
      <c r="K891" s="6">
        <v>1</v>
      </c>
      <c r="L891" s="6">
        <v>15</v>
      </c>
      <c r="M891" s="6">
        <v>357602</v>
      </c>
      <c r="N891" s="6">
        <v>7152040</v>
      </c>
      <c r="O891" s="6">
        <v>93</v>
      </c>
      <c r="P891" s="7">
        <v>11272.25792</v>
      </c>
      <c r="Q891" s="7">
        <v>47396.852800000001</v>
      </c>
      <c r="R891" s="9">
        <f>D891*VLOOKUP(1001,적!$A$4:$D$13,3,FALSE)</f>
        <v>1500563.6997159999</v>
      </c>
      <c r="S891" s="9">
        <f>D891*VLOOKUP(F891,보스!$A$4:$E$5,4,FALSE)</f>
        <v>54020293.189775996</v>
      </c>
    </row>
    <row r="892" spans="1:19" ht="21.95" customHeight="1">
      <c r="A892" s="6">
        <v>5889</v>
      </c>
      <c r="B892" s="2" t="s">
        <v>1040</v>
      </c>
      <c r="C892" s="6">
        <v>889</v>
      </c>
      <c r="D892" s="7">
        <v>753066.82241152006</v>
      </c>
      <c r="E892" s="2" t="s">
        <v>152</v>
      </c>
      <c r="F892" s="6">
        <v>2001</v>
      </c>
      <c r="G892" s="6">
        <v>5</v>
      </c>
      <c r="H892" s="7">
        <v>30</v>
      </c>
      <c r="I892" s="6">
        <v>5</v>
      </c>
      <c r="J892" s="6">
        <v>2</v>
      </c>
      <c r="K892" s="6">
        <v>1</v>
      </c>
      <c r="L892" s="6">
        <v>15</v>
      </c>
      <c r="M892" s="6">
        <v>358008</v>
      </c>
      <c r="N892" s="6">
        <v>7160160</v>
      </c>
      <c r="O892" s="6">
        <v>93</v>
      </c>
      <c r="P892" s="7">
        <v>11295.90524</v>
      </c>
      <c r="Q892" s="7">
        <v>47496.2811</v>
      </c>
      <c r="R892" s="9">
        <f>D892*VLOOKUP(1001,적!$A$4:$D$13,3,FALSE)</f>
        <v>1506133.6448230401</v>
      </c>
      <c r="S892" s="9">
        <f>D892*VLOOKUP(F892,보스!$A$4:$E$5,4,FALSE)</f>
        <v>54220811.213629447</v>
      </c>
    </row>
    <row r="893" spans="1:19" ht="21.95" customHeight="1">
      <c r="A893" s="6">
        <v>5890</v>
      </c>
      <c r="B893" s="2" t="s">
        <v>1041</v>
      </c>
      <c r="C893" s="6">
        <v>890</v>
      </c>
      <c r="D893" s="7">
        <v>755859.80931359995</v>
      </c>
      <c r="E893" s="2" t="s">
        <v>152</v>
      </c>
      <c r="F893" s="6">
        <v>2002</v>
      </c>
      <c r="G893" s="6">
        <v>5</v>
      </c>
      <c r="H893" s="7">
        <v>30</v>
      </c>
      <c r="I893" s="6">
        <v>5</v>
      </c>
      <c r="J893" s="6">
        <v>2</v>
      </c>
      <c r="K893" s="6">
        <v>1</v>
      </c>
      <c r="L893" s="6">
        <v>15</v>
      </c>
      <c r="M893" s="6">
        <v>358414</v>
      </c>
      <c r="N893" s="6">
        <v>7168280</v>
      </c>
      <c r="O893" s="6">
        <v>94</v>
      </c>
      <c r="P893" s="7">
        <v>11319.5772</v>
      </c>
      <c r="Q893" s="7">
        <v>47595.813000000002</v>
      </c>
      <c r="R893" s="9">
        <f>D893*VLOOKUP(1001,적!$A$4:$D$13,3,FALSE)</f>
        <v>1511719.6186271999</v>
      </c>
      <c r="S893" s="9">
        <f>D893*VLOOKUP(F893,보스!$A$4:$E$5,4,FALSE)</f>
        <v>54421906.270579197</v>
      </c>
    </row>
    <row r="894" spans="1:19" ht="21.95" customHeight="1">
      <c r="A894" s="6">
        <v>5891</v>
      </c>
      <c r="B894" s="2" t="s">
        <v>1042</v>
      </c>
      <c r="C894" s="6">
        <v>891</v>
      </c>
      <c r="D894" s="7">
        <v>758660.82671599998</v>
      </c>
      <c r="E894" s="2" t="s">
        <v>152</v>
      </c>
      <c r="F894" s="6">
        <v>2001</v>
      </c>
      <c r="G894" s="6">
        <v>5</v>
      </c>
      <c r="H894" s="7">
        <v>30</v>
      </c>
      <c r="I894" s="6">
        <v>5</v>
      </c>
      <c r="J894" s="6">
        <v>2</v>
      </c>
      <c r="K894" s="6">
        <v>1</v>
      </c>
      <c r="L894" s="6">
        <v>15</v>
      </c>
      <c r="M894" s="6">
        <v>358820</v>
      </c>
      <c r="N894" s="6">
        <v>7176400</v>
      </c>
      <c r="O894" s="6">
        <v>94</v>
      </c>
      <c r="P894" s="7">
        <v>11343.273800000001</v>
      </c>
      <c r="Q894" s="7">
        <v>47695.448499999999</v>
      </c>
      <c r="R894" s="9">
        <f>D894*VLOOKUP(1001,적!$A$4:$D$13,3,FALSE)</f>
        <v>1517321.653432</v>
      </c>
      <c r="S894" s="9">
        <f>D894*VLOOKUP(F894,보스!$A$4:$E$5,4,FALSE)</f>
        <v>54623579.523552001</v>
      </c>
    </row>
    <row r="895" spans="1:19" ht="21.95" customHeight="1">
      <c r="A895" s="6">
        <v>5892</v>
      </c>
      <c r="B895" s="2" t="s">
        <v>1043</v>
      </c>
      <c r="C895" s="6">
        <v>892</v>
      </c>
      <c r="D895" s="7">
        <v>761469.89078776003</v>
      </c>
      <c r="E895" s="2" t="s">
        <v>152</v>
      </c>
      <c r="F895" s="6">
        <v>2002</v>
      </c>
      <c r="G895" s="6">
        <v>5</v>
      </c>
      <c r="H895" s="7">
        <v>30</v>
      </c>
      <c r="I895" s="6">
        <v>5</v>
      </c>
      <c r="J895" s="6">
        <v>2</v>
      </c>
      <c r="K895" s="6">
        <v>1</v>
      </c>
      <c r="L895" s="6">
        <v>15</v>
      </c>
      <c r="M895" s="6">
        <v>359226</v>
      </c>
      <c r="N895" s="6">
        <v>7184520</v>
      </c>
      <c r="O895" s="6">
        <v>94</v>
      </c>
      <c r="P895" s="7">
        <v>11366.99504</v>
      </c>
      <c r="Q895" s="7">
        <v>47795.187599999997</v>
      </c>
      <c r="R895" s="9">
        <f>D895*VLOOKUP(1001,적!$A$4:$D$13,3,FALSE)</f>
        <v>1522939.7815755201</v>
      </c>
      <c r="S895" s="9">
        <f>D895*VLOOKUP(F895,보스!$A$4:$E$5,4,FALSE)</f>
        <v>54825832.13671872</v>
      </c>
    </row>
    <row r="896" spans="1:19" ht="21.95" customHeight="1">
      <c r="A896" s="6">
        <v>5893</v>
      </c>
      <c r="B896" s="2" t="s">
        <v>1044</v>
      </c>
      <c r="C896" s="6">
        <v>893</v>
      </c>
      <c r="D896" s="7">
        <v>764287.01771519997</v>
      </c>
      <c r="E896" s="2" t="s">
        <v>152</v>
      </c>
      <c r="F896" s="6">
        <v>2001</v>
      </c>
      <c r="G896" s="6">
        <v>5</v>
      </c>
      <c r="H896" s="7">
        <v>30</v>
      </c>
      <c r="I896" s="6">
        <v>5</v>
      </c>
      <c r="J896" s="6">
        <v>2</v>
      </c>
      <c r="K896" s="6">
        <v>1</v>
      </c>
      <c r="L896" s="6">
        <v>15</v>
      </c>
      <c r="M896" s="6">
        <v>359632</v>
      </c>
      <c r="N896" s="6">
        <v>7192640</v>
      </c>
      <c r="O896" s="6">
        <v>94</v>
      </c>
      <c r="P896" s="7">
        <v>11390.74092</v>
      </c>
      <c r="Q896" s="7">
        <v>47895.030299999999</v>
      </c>
      <c r="R896" s="9">
        <f>D896*VLOOKUP(1001,적!$A$4:$D$13,3,FALSE)</f>
        <v>1528574.0354303999</v>
      </c>
      <c r="S896" s="9">
        <f>D896*VLOOKUP(F896,보스!$A$4:$E$5,4,FALSE)</f>
        <v>55028665.275494397</v>
      </c>
    </row>
    <row r="897" spans="1:19" ht="21.95" customHeight="1">
      <c r="A897" s="6">
        <v>5894</v>
      </c>
      <c r="B897" s="2" t="s">
        <v>1045</v>
      </c>
      <c r="C897" s="6">
        <v>894</v>
      </c>
      <c r="D897" s="7">
        <v>767112.22370192001</v>
      </c>
      <c r="E897" s="2" t="s">
        <v>152</v>
      </c>
      <c r="F897" s="6">
        <v>2002</v>
      </c>
      <c r="G897" s="6">
        <v>5</v>
      </c>
      <c r="H897" s="7">
        <v>30</v>
      </c>
      <c r="I897" s="6">
        <v>5</v>
      </c>
      <c r="J897" s="6">
        <v>2</v>
      </c>
      <c r="K897" s="6">
        <v>1</v>
      </c>
      <c r="L897" s="6">
        <v>15</v>
      </c>
      <c r="M897" s="6">
        <v>360038</v>
      </c>
      <c r="N897" s="6">
        <v>7200760</v>
      </c>
      <c r="O897" s="6">
        <v>94</v>
      </c>
      <c r="P897" s="7">
        <v>11414.51144</v>
      </c>
      <c r="Q897" s="7">
        <v>47994.976600000002</v>
      </c>
      <c r="R897" s="9">
        <f>D897*VLOOKUP(1001,적!$A$4:$D$13,3,FALSE)</f>
        <v>1534224.44740384</v>
      </c>
      <c r="S897" s="9">
        <f>D897*VLOOKUP(F897,보스!$A$4:$E$5,4,FALSE)</f>
        <v>55232080.106538244</v>
      </c>
    </row>
    <row r="898" spans="1:19" ht="21.95" customHeight="1">
      <c r="A898" s="6">
        <v>5895</v>
      </c>
      <c r="B898" s="2" t="s">
        <v>1046</v>
      </c>
      <c r="C898" s="6">
        <v>895</v>
      </c>
      <c r="D898" s="7">
        <v>769945.52496880002</v>
      </c>
      <c r="E898" s="2" t="s">
        <v>152</v>
      </c>
      <c r="F898" s="6">
        <v>2001</v>
      </c>
      <c r="G898" s="6">
        <v>5</v>
      </c>
      <c r="H898" s="7">
        <v>30</v>
      </c>
      <c r="I898" s="6">
        <v>5</v>
      </c>
      <c r="J898" s="6">
        <v>2</v>
      </c>
      <c r="K898" s="6">
        <v>1</v>
      </c>
      <c r="L898" s="6">
        <v>15</v>
      </c>
      <c r="M898" s="6">
        <v>360444</v>
      </c>
      <c r="N898" s="6">
        <v>7208880</v>
      </c>
      <c r="O898" s="6">
        <v>94</v>
      </c>
      <c r="P898" s="7">
        <v>11438.3066</v>
      </c>
      <c r="Q898" s="7">
        <v>48095.0265</v>
      </c>
      <c r="R898" s="9">
        <f>D898*VLOOKUP(1001,적!$A$4:$D$13,3,FALSE)</f>
        <v>1539891.0499376</v>
      </c>
      <c r="S898" s="9">
        <f>D898*VLOOKUP(F898,보스!$A$4:$E$5,4,FALSE)</f>
        <v>55436077.797753602</v>
      </c>
    </row>
    <row r="899" spans="1:19" ht="21.95" customHeight="1">
      <c r="A899" s="6">
        <v>5896</v>
      </c>
      <c r="B899" s="2" t="s">
        <v>1047</v>
      </c>
      <c r="C899" s="6">
        <v>896</v>
      </c>
      <c r="D899" s="7">
        <v>772786.93775399996</v>
      </c>
      <c r="E899" s="2" t="s">
        <v>152</v>
      </c>
      <c r="F899" s="6">
        <v>2002</v>
      </c>
      <c r="G899" s="6">
        <v>5</v>
      </c>
      <c r="H899" s="7">
        <v>30</v>
      </c>
      <c r="I899" s="6">
        <v>5</v>
      </c>
      <c r="J899" s="6">
        <v>2</v>
      </c>
      <c r="K899" s="6">
        <v>1</v>
      </c>
      <c r="L899" s="6">
        <v>15</v>
      </c>
      <c r="M899" s="6">
        <v>360850</v>
      </c>
      <c r="N899" s="6">
        <v>7217000</v>
      </c>
      <c r="O899" s="6">
        <v>94</v>
      </c>
      <c r="P899" s="7">
        <v>11462.126399999999</v>
      </c>
      <c r="Q899" s="7">
        <v>48195.18</v>
      </c>
      <c r="R899" s="9">
        <f>D899*VLOOKUP(1001,적!$A$4:$D$13,3,FALSE)</f>
        <v>1545573.8755079999</v>
      </c>
      <c r="S899" s="9">
        <f>D899*VLOOKUP(F899,보스!$A$4:$E$5,4,FALSE)</f>
        <v>55640659.518287994</v>
      </c>
    </row>
    <row r="900" spans="1:19" ht="21.95" customHeight="1">
      <c r="A900" s="6">
        <v>5897</v>
      </c>
      <c r="B900" s="2" t="s">
        <v>1048</v>
      </c>
      <c r="C900" s="6">
        <v>897</v>
      </c>
      <c r="D900" s="7">
        <v>775636.47831296001</v>
      </c>
      <c r="E900" s="2" t="s">
        <v>152</v>
      </c>
      <c r="F900" s="6">
        <v>2001</v>
      </c>
      <c r="G900" s="6">
        <v>5</v>
      </c>
      <c r="H900" s="7">
        <v>30</v>
      </c>
      <c r="I900" s="6">
        <v>5</v>
      </c>
      <c r="J900" s="6">
        <v>2</v>
      </c>
      <c r="K900" s="6">
        <v>1</v>
      </c>
      <c r="L900" s="6">
        <v>15</v>
      </c>
      <c r="M900" s="6">
        <v>361256</v>
      </c>
      <c r="N900" s="6">
        <v>7225120</v>
      </c>
      <c r="O900" s="6">
        <v>94</v>
      </c>
      <c r="P900" s="7">
        <v>11485.97084</v>
      </c>
      <c r="Q900" s="7">
        <v>48295.437100000003</v>
      </c>
      <c r="R900" s="9">
        <f>D900*VLOOKUP(1001,적!$A$4:$D$13,3,FALSE)</f>
        <v>1551272.95662592</v>
      </c>
      <c r="S900" s="9">
        <f>D900*VLOOKUP(F900,보스!$A$4:$E$5,4,FALSE)</f>
        <v>55845826.43853312</v>
      </c>
    </row>
    <row r="901" spans="1:19" ht="21.95" customHeight="1">
      <c r="A901" s="6">
        <v>5898</v>
      </c>
      <c r="B901" s="2" t="s">
        <v>1049</v>
      </c>
      <c r="C901" s="6">
        <v>898</v>
      </c>
      <c r="D901" s="7">
        <v>778494.16291840002</v>
      </c>
      <c r="E901" s="2" t="s">
        <v>152</v>
      </c>
      <c r="F901" s="6">
        <v>2002</v>
      </c>
      <c r="G901" s="6">
        <v>5</v>
      </c>
      <c r="H901" s="7">
        <v>30</v>
      </c>
      <c r="I901" s="6">
        <v>5</v>
      </c>
      <c r="J901" s="6">
        <v>2</v>
      </c>
      <c r="K901" s="6">
        <v>1</v>
      </c>
      <c r="L901" s="6">
        <v>15</v>
      </c>
      <c r="M901" s="6">
        <v>361662</v>
      </c>
      <c r="N901" s="6">
        <v>7233240</v>
      </c>
      <c r="O901" s="6">
        <v>94</v>
      </c>
      <c r="P901" s="7">
        <v>11509.83992</v>
      </c>
      <c r="Q901" s="7">
        <v>48395.7978</v>
      </c>
      <c r="R901" s="9">
        <f>D901*VLOOKUP(1001,적!$A$4:$D$13,3,FALSE)</f>
        <v>1556988.3258368</v>
      </c>
      <c r="S901" s="9">
        <f>D901*VLOOKUP(F901,보스!$A$4:$E$5,4,FALSE)</f>
        <v>56051579.730124801</v>
      </c>
    </row>
    <row r="902" spans="1:19" ht="21.95" customHeight="1">
      <c r="A902" s="6">
        <v>5899</v>
      </c>
      <c r="B902" s="2" t="s">
        <v>1050</v>
      </c>
      <c r="C902" s="6">
        <v>899</v>
      </c>
      <c r="D902" s="7">
        <v>781360.00786032004</v>
      </c>
      <c r="E902" s="2" t="s">
        <v>152</v>
      </c>
      <c r="F902" s="6">
        <v>2001</v>
      </c>
      <c r="G902" s="6">
        <v>5</v>
      </c>
      <c r="H902" s="7">
        <v>30</v>
      </c>
      <c r="I902" s="6">
        <v>5</v>
      </c>
      <c r="J902" s="6">
        <v>2</v>
      </c>
      <c r="K902" s="6">
        <v>1</v>
      </c>
      <c r="L902" s="6">
        <v>15</v>
      </c>
      <c r="M902" s="6">
        <v>362068</v>
      </c>
      <c r="N902" s="6">
        <v>7241360</v>
      </c>
      <c r="O902" s="6">
        <v>94</v>
      </c>
      <c r="P902" s="7">
        <v>11533.73364</v>
      </c>
      <c r="Q902" s="7">
        <v>48496.2621</v>
      </c>
      <c r="R902" s="9">
        <f>D902*VLOOKUP(1001,적!$A$4:$D$13,3,FALSE)</f>
        <v>1562720.0157206401</v>
      </c>
      <c r="S902" s="9">
        <f>D902*VLOOKUP(F902,보스!$A$4:$E$5,4,FALSE)</f>
        <v>56257920.56594304</v>
      </c>
    </row>
    <row r="903" spans="1:19" ht="21.95" customHeight="1">
      <c r="A903" s="6">
        <v>5900</v>
      </c>
      <c r="B903" s="2" t="s">
        <v>1051</v>
      </c>
      <c r="C903" s="6">
        <v>900</v>
      </c>
      <c r="D903" s="7">
        <v>784234.029446</v>
      </c>
      <c r="E903" s="2" t="s">
        <v>152</v>
      </c>
      <c r="F903" s="6">
        <v>2002</v>
      </c>
      <c r="G903" s="6">
        <v>5</v>
      </c>
      <c r="H903" s="7">
        <v>30</v>
      </c>
      <c r="I903" s="6">
        <v>5</v>
      </c>
      <c r="J903" s="6">
        <v>2</v>
      </c>
      <c r="K903" s="6">
        <v>1</v>
      </c>
      <c r="L903" s="6">
        <v>15</v>
      </c>
      <c r="M903" s="6">
        <v>362474</v>
      </c>
      <c r="N903" s="6">
        <v>7249480</v>
      </c>
      <c r="O903" s="6">
        <v>95</v>
      </c>
      <c r="P903" s="7">
        <v>11557.652</v>
      </c>
      <c r="Q903" s="7">
        <v>48596.83</v>
      </c>
      <c r="R903" s="9">
        <f>D903*VLOOKUP(1001,적!$A$4:$D$13,3,FALSE)</f>
        <v>1568468.058892</v>
      </c>
      <c r="S903" s="9">
        <f>D903*VLOOKUP(F903,보스!$A$4:$E$5,4,FALSE)</f>
        <v>56464850.120112002</v>
      </c>
    </row>
    <row r="904" spans="1:19" ht="21.95" customHeight="1">
      <c r="A904" s="6">
        <v>5901</v>
      </c>
      <c r="B904" s="2" t="s">
        <v>1052</v>
      </c>
      <c r="C904" s="6">
        <v>901</v>
      </c>
      <c r="D904" s="7">
        <v>787116.24399999995</v>
      </c>
      <c r="E904" s="2" t="s">
        <v>152</v>
      </c>
      <c r="F904" s="6">
        <v>2001</v>
      </c>
      <c r="G904" s="6">
        <v>5</v>
      </c>
      <c r="H904" s="7">
        <v>30</v>
      </c>
      <c r="I904" s="6">
        <v>5</v>
      </c>
      <c r="J904" s="6">
        <v>2</v>
      </c>
      <c r="K904" s="6">
        <v>1</v>
      </c>
      <c r="L904" s="6">
        <v>15</v>
      </c>
      <c r="M904" s="6">
        <v>362880</v>
      </c>
      <c r="N904" s="6">
        <v>7257600</v>
      </c>
      <c r="O904" s="6">
        <v>95</v>
      </c>
      <c r="P904" s="7">
        <v>11581.594999999999</v>
      </c>
      <c r="Q904" s="7">
        <v>48697.501499999998</v>
      </c>
      <c r="R904" s="9">
        <f>D904*VLOOKUP(1001,적!$A$4:$D$13,3,FALSE)</f>
        <v>1574232.4879999999</v>
      </c>
      <c r="S904" s="9">
        <f>D904*VLOOKUP(F904,보스!$A$4:$E$5,4,FALSE)</f>
        <v>56672369.567999996</v>
      </c>
    </row>
    <row r="905" spans="1:19" ht="21.95" customHeight="1">
      <c r="A905" s="6">
        <v>5902</v>
      </c>
      <c r="B905" s="2" t="s">
        <v>1053</v>
      </c>
      <c r="C905" s="6">
        <v>902</v>
      </c>
      <c r="D905" s="7">
        <v>790006.66786416003</v>
      </c>
      <c r="E905" s="2" t="s">
        <v>152</v>
      </c>
      <c r="F905" s="6">
        <v>2002</v>
      </c>
      <c r="G905" s="6">
        <v>5</v>
      </c>
      <c r="H905" s="7">
        <v>30</v>
      </c>
      <c r="I905" s="6">
        <v>5</v>
      </c>
      <c r="J905" s="6">
        <v>2</v>
      </c>
      <c r="K905" s="6">
        <v>1</v>
      </c>
      <c r="L905" s="6">
        <v>15</v>
      </c>
      <c r="M905" s="6">
        <v>363286</v>
      </c>
      <c r="N905" s="6">
        <v>7265720</v>
      </c>
      <c r="O905" s="6">
        <v>95</v>
      </c>
      <c r="P905" s="7">
        <v>11605.56264</v>
      </c>
      <c r="Q905" s="7">
        <v>48798.276599999997</v>
      </c>
      <c r="R905" s="9">
        <f>D905*VLOOKUP(1001,적!$A$4:$D$13,3,FALSE)</f>
        <v>1580013.3357283201</v>
      </c>
      <c r="S905" s="9">
        <f>D905*VLOOKUP(F905,보스!$A$4:$E$5,4,FALSE)</f>
        <v>56880480.086219519</v>
      </c>
    </row>
    <row r="906" spans="1:19" ht="21.95" customHeight="1">
      <c r="A906" s="6">
        <v>5903</v>
      </c>
      <c r="B906" s="2" t="s">
        <v>1054</v>
      </c>
      <c r="C906" s="6">
        <v>903</v>
      </c>
      <c r="D906" s="7">
        <v>792905.31739760004</v>
      </c>
      <c r="E906" s="2" t="s">
        <v>152</v>
      </c>
      <c r="F906" s="6">
        <v>2001</v>
      </c>
      <c r="G906" s="6">
        <v>5</v>
      </c>
      <c r="H906" s="7">
        <v>30</v>
      </c>
      <c r="I906" s="6">
        <v>5</v>
      </c>
      <c r="J906" s="6">
        <v>2</v>
      </c>
      <c r="K906" s="6">
        <v>1</v>
      </c>
      <c r="L906" s="6">
        <v>15</v>
      </c>
      <c r="M906" s="6">
        <v>363692</v>
      </c>
      <c r="N906" s="6">
        <v>7273840</v>
      </c>
      <c r="O906" s="6">
        <v>95</v>
      </c>
      <c r="P906" s="7">
        <v>11629.55492</v>
      </c>
      <c r="Q906" s="7">
        <v>48899.155299999999</v>
      </c>
      <c r="R906" s="9">
        <f>D906*VLOOKUP(1001,적!$A$4:$D$13,3,FALSE)</f>
        <v>1585810.6347952001</v>
      </c>
      <c r="S906" s="9">
        <f>D906*VLOOKUP(F906,보스!$A$4:$E$5,4,FALSE)</f>
        <v>57089182.852627203</v>
      </c>
    </row>
    <row r="907" spans="1:19" ht="21.95" customHeight="1">
      <c r="A907" s="6">
        <v>5904</v>
      </c>
      <c r="B907" s="2" t="s">
        <v>1055</v>
      </c>
      <c r="C907" s="6">
        <v>904</v>
      </c>
      <c r="D907" s="7">
        <v>795812.20897671999</v>
      </c>
      <c r="E907" s="2" t="s">
        <v>152</v>
      </c>
      <c r="F907" s="6">
        <v>2002</v>
      </c>
      <c r="G907" s="6">
        <v>5</v>
      </c>
      <c r="H907" s="7">
        <v>30</v>
      </c>
      <c r="I907" s="6">
        <v>5</v>
      </c>
      <c r="J907" s="6">
        <v>2</v>
      </c>
      <c r="K907" s="6">
        <v>1</v>
      </c>
      <c r="L907" s="6">
        <v>15</v>
      </c>
      <c r="M907" s="6">
        <v>364098</v>
      </c>
      <c r="N907" s="6">
        <v>7281960</v>
      </c>
      <c r="O907" s="6">
        <v>95</v>
      </c>
      <c r="P907" s="7">
        <v>11653.571840000001</v>
      </c>
      <c r="Q907" s="7">
        <v>49000.137600000002</v>
      </c>
      <c r="R907" s="9">
        <f>D907*VLOOKUP(1001,적!$A$4:$D$13,3,FALSE)</f>
        <v>1591624.41795344</v>
      </c>
      <c r="S907" s="9">
        <f>D907*VLOOKUP(F907,보스!$A$4:$E$5,4,FALSE)</f>
        <v>57298479.046323836</v>
      </c>
    </row>
    <row r="908" spans="1:19" ht="21.95" customHeight="1">
      <c r="A908" s="6">
        <v>5905</v>
      </c>
      <c r="B908" s="2" t="s">
        <v>1056</v>
      </c>
      <c r="C908" s="6">
        <v>905</v>
      </c>
      <c r="D908" s="7">
        <v>798727.35899520002</v>
      </c>
      <c r="E908" s="2" t="s">
        <v>152</v>
      </c>
      <c r="F908" s="6">
        <v>2001</v>
      </c>
      <c r="G908" s="6">
        <v>5</v>
      </c>
      <c r="H908" s="7">
        <v>30</v>
      </c>
      <c r="I908" s="6">
        <v>5</v>
      </c>
      <c r="J908" s="6">
        <v>2</v>
      </c>
      <c r="K908" s="6">
        <v>1</v>
      </c>
      <c r="L908" s="6">
        <v>15</v>
      </c>
      <c r="M908" s="6">
        <v>364504</v>
      </c>
      <c r="N908" s="6">
        <v>7290080</v>
      </c>
      <c r="O908" s="6">
        <v>95</v>
      </c>
      <c r="P908" s="7">
        <v>11677.6134</v>
      </c>
      <c r="Q908" s="7">
        <v>49101.2235</v>
      </c>
      <c r="R908" s="9">
        <f>D908*VLOOKUP(1001,적!$A$4:$D$13,3,FALSE)</f>
        <v>1597454.7179904</v>
      </c>
      <c r="S908" s="9">
        <f>D908*VLOOKUP(F908,보스!$A$4:$E$5,4,FALSE)</f>
        <v>57508369.847654402</v>
      </c>
    </row>
    <row r="909" spans="1:19" ht="21.95" customHeight="1">
      <c r="A909" s="6">
        <v>5906</v>
      </c>
      <c r="B909" s="2" t="s">
        <v>1057</v>
      </c>
      <c r="C909" s="6">
        <v>906</v>
      </c>
      <c r="D909" s="7">
        <v>801650.783864</v>
      </c>
      <c r="E909" s="2" t="s">
        <v>152</v>
      </c>
      <c r="F909" s="6">
        <v>2002</v>
      </c>
      <c r="G909" s="6">
        <v>5</v>
      </c>
      <c r="H909" s="7">
        <v>30</v>
      </c>
      <c r="I909" s="6">
        <v>5</v>
      </c>
      <c r="J909" s="6">
        <v>2</v>
      </c>
      <c r="K909" s="6">
        <v>1</v>
      </c>
      <c r="L909" s="6">
        <v>15</v>
      </c>
      <c r="M909" s="6">
        <v>364910</v>
      </c>
      <c r="N909" s="6">
        <v>7298200</v>
      </c>
      <c r="O909" s="6">
        <v>95</v>
      </c>
      <c r="P909" s="7">
        <v>11701.679599999999</v>
      </c>
      <c r="Q909" s="7">
        <v>49202.413</v>
      </c>
      <c r="R909" s="9">
        <f>D909*VLOOKUP(1001,적!$A$4:$D$13,3,FALSE)</f>
        <v>1603301.567728</v>
      </c>
      <c r="S909" s="9">
        <f>D909*VLOOKUP(F909,보스!$A$4:$E$5,4,FALSE)</f>
        <v>57718856.438207999</v>
      </c>
    </row>
    <row r="910" spans="1:19" ht="21.95" customHeight="1">
      <c r="A910" s="6">
        <v>5907</v>
      </c>
      <c r="B910" s="2" t="s">
        <v>1058</v>
      </c>
      <c r="C910" s="6">
        <v>907</v>
      </c>
      <c r="D910" s="7">
        <v>804582.50001136004</v>
      </c>
      <c r="E910" s="2" t="s">
        <v>152</v>
      </c>
      <c r="F910" s="6">
        <v>2001</v>
      </c>
      <c r="G910" s="6">
        <v>5</v>
      </c>
      <c r="H910" s="7">
        <v>30</v>
      </c>
      <c r="I910" s="6">
        <v>5</v>
      </c>
      <c r="J910" s="6">
        <v>2</v>
      </c>
      <c r="K910" s="6">
        <v>1</v>
      </c>
      <c r="L910" s="6">
        <v>15</v>
      </c>
      <c r="M910" s="6">
        <v>365316</v>
      </c>
      <c r="N910" s="6">
        <v>7306320</v>
      </c>
      <c r="O910" s="6">
        <v>95</v>
      </c>
      <c r="P910" s="7">
        <v>11725.77044</v>
      </c>
      <c r="Q910" s="7">
        <v>49303.706100000003</v>
      </c>
      <c r="R910" s="9">
        <f>D910*VLOOKUP(1001,적!$A$4:$D$13,3,FALSE)</f>
        <v>1609165.0000227201</v>
      </c>
      <c r="S910" s="9">
        <f>D910*VLOOKUP(F910,보스!$A$4:$E$5,4,FALSE)</f>
        <v>57929940.000817925</v>
      </c>
    </row>
    <row r="911" spans="1:19" ht="21.95" customHeight="1">
      <c r="A911" s="6">
        <v>5908</v>
      </c>
      <c r="B911" s="2" t="s">
        <v>1059</v>
      </c>
      <c r="C911" s="6">
        <v>908</v>
      </c>
      <c r="D911" s="7">
        <v>807522.52388280001</v>
      </c>
      <c r="E911" s="2" t="s">
        <v>152</v>
      </c>
      <c r="F911" s="6">
        <v>2002</v>
      </c>
      <c r="G911" s="6">
        <v>5</v>
      </c>
      <c r="H911" s="7">
        <v>30</v>
      </c>
      <c r="I911" s="6">
        <v>5</v>
      </c>
      <c r="J911" s="6">
        <v>2</v>
      </c>
      <c r="K911" s="6">
        <v>1</v>
      </c>
      <c r="L911" s="6">
        <v>15</v>
      </c>
      <c r="M911" s="6">
        <v>365722</v>
      </c>
      <c r="N911" s="6">
        <v>7314440</v>
      </c>
      <c r="O911" s="6">
        <v>95</v>
      </c>
      <c r="P911" s="7">
        <v>11749.885920000001</v>
      </c>
      <c r="Q911" s="7">
        <v>49405.102800000001</v>
      </c>
      <c r="R911" s="9">
        <f>D911*VLOOKUP(1001,적!$A$4:$D$13,3,FALSE)</f>
        <v>1615045.0477656</v>
      </c>
      <c r="S911" s="9">
        <f>D911*VLOOKUP(F911,보스!$A$4:$E$5,4,FALSE)</f>
        <v>58141621.719561599</v>
      </c>
    </row>
    <row r="912" spans="1:19" ht="21.95" customHeight="1">
      <c r="A912" s="6">
        <v>5909</v>
      </c>
      <c r="B912" s="2" t="s">
        <v>1060</v>
      </c>
      <c r="C912" s="6">
        <v>909</v>
      </c>
      <c r="D912" s="7">
        <v>810470.87194112001</v>
      </c>
      <c r="E912" s="2" t="s">
        <v>152</v>
      </c>
      <c r="F912" s="6">
        <v>2001</v>
      </c>
      <c r="G912" s="6">
        <v>5</v>
      </c>
      <c r="H912" s="7">
        <v>30</v>
      </c>
      <c r="I912" s="6">
        <v>5</v>
      </c>
      <c r="J912" s="6">
        <v>2</v>
      </c>
      <c r="K912" s="6">
        <v>1</v>
      </c>
      <c r="L912" s="6">
        <v>15</v>
      </c>
      <c r="M912" s="6">
        <v>366128</v>
      </c>
      <c r="N912" s="6">
        <v>7322560</v>
      </c>
      <c r="O912" s="6">
        <v>95</v>
      </c>
      <c r="P912" s="7">
        <v>11774.026040000001</v>
      </c>
      <c r="Q912" s="7">
        <v>49506.6031</v>
      </c>
      <c r="R912" s="9">
        <f>D912*VLOOKUP(1001,적!$A$4:$D$13,3,FALSE)</f>
        <v>1620941.74388224</v>
      </c>
      <c r="S912" s="9">
        <f>D912*VLOOKUP(F912,보스!$A$4:$E$5,4,FALSE)</f>
        <v>58353902.779760644</v>
      </c>
    </row>
    <row r="913" spans="1:19" ht="21.95" customHeight="1">
      <c r="A913" s="6">
        <v>5910</v>
      </c>
      <c r="B913" s="2" t="s">
        <v>1061</v>
      </c>
      <c r="C913" s="6">
        <v>910</v>
      </c>
      <c r="D913" s="7">
        <v>813427.56066640001</v>
      </c>
      <c r="E913" s="2" t="s">
        <v>152</v>
      </c>
      <c r="F913" s="6">
        <v>2002</v>
      </c>
      <c r="G913" s="6">
        <v>5</v>
      </c>
      <c r="H913" s="7">
        <v>30</v>
      </c>
      <c r="I913" s="6">
        <v>5</v>
      </c>
      <c r="J913" s="6">
        <v>2</v>
      </c>
      <c r="K913" s="6">
        <v>1</v>
      </c>
      <c r="L913" s="6">
        <v>15</v>
      </c>
      <c r="M913" s="6">
        <v>366534</v>
      </c>
      <c r="N913" s="6">
        <v>7330680</v>
      </c>
      <c r="O913" s="6">
        <v>96</v>
      </c>
      <c r="P913" s="7">
        <v>11798.1908</v>
      </c>
      <c r="Q913" s="7">
        <v>49608.207000000002</v>
      </c>
      <c r="R913" s="9">
        <f>D913*VLOOKUP(1001,적!$A$4:$D$13,3,FALSE)</f>
        <v>1626855.1213328</v>
      </c>
      <c r="S913" s="9">
        <f>D913*VLOOKUP(F913,보스!$A$4:$E$5,4,FALSE)</f>
        <v>58566784.367980801</v>
      </c>
    </row>
    <row r="914" spans="1:19" ht="21.95" customHeight="1">
      <c r="A914" s="6">
        <v>5911</v>
      </c>
      <c r="B914" s="2" t="s">
        <v>1062</v>
      </c>
      <c r="C914" s="6">
        <v>911</v>
      </c>
      <c r="D914" s="7">
        <v>816392.60655599996</v>
      </c>
      <c r="E914" s="2" t="s">
        <v>152</v>
      </c>
      <c r="F914" s="6">
        <v>2001</v>
      </c>
      <c r="G914" s="6">
        <v>5</v>
      </c>
      <c r="H914" s="7">
        <v>30</v>
      </c>
      <c r="I914" s="6">
        <v>5</v>
      </c>
      <c r="J914" s="6">
        <v>2</v>
      </c>
      <c r="K914" s="6">
        <v>1</v>
      </c>
      <c r="L914" s="6">
        <v>15</v>
      </c>
      <c r="M914" s="6">
        <v>366940</v>
      </c>
      <c r="N914" s="6">
        <v>7338800</v>
      </c>
      <c r="O914" s="6">
        <v>96</v>
      </c>
      <c r="P914" s="7">
        <v>11822.3802</v>
      </c>
      <c r="Q914" s="7">
        <v>49709.914499999999</v>
      </c>
      <c r="R914" s="9">
        <f>D914*VLOOKUP(1001,적!$A$4:$D$13,3,FALSE)</f>
        <v>1632785.2131119999</v>
      </c>
      <c r="S914" s="9">
        <f>D914*VLOOKUP(F914,보스!$A$4:$E$5,4,FALSE)</f>
        <v>58780267.672031999</v>
      </c>
    </row>
    <row r="915" spans="1:19" ht="21.95" customHeight="1">
      <c r="A915" s="6">
        <v>5912</v>
      </c>
      <c r="B915" s="2" t="s">
        <v>1063</v>
      </c>
      <c r="C915" s="6">
        <v>912</v>
      </c>
      <c r="D915" s="7">
        <v>819366.02612456004</v>
      </c>
      <c r="E915" s="2" t="s">
        <v>152</v>
      </c>
      <c r="F915" s="6">
        <v>2002</v>
      </c>
      <c r="G915" s="6">
        <v>5</v>
      </c>
      <c r="H915" s="7">
        <v>30</v>
      </c>
      <c r="I915" s="6">
        <v>5</v>
      </c>
      <c r="J915" s="6">
        <v>2</v>
      </c>
      <c r="K915" s="6">
        <v>1</v>
      </c>
      <c r="L915" s="6">
        <v>15</v>
      </c>
      <c r="M915" s="6">
        <v>367346</v>
      </c>
      <c r="N915" s="6">
        <v>7346920</v>
      </c>
      <c r="O915" s="6">
        <v>96</v>
      </c>
      <c r="P915" s="7">
        <v>11846.59424</v>
      </c>
      <c r="Q915" s="7">
        <v>49811.725599999998</v>
      </c>
      <c r="R915" s="9">
        <f>D915*VLOOKUP(1001,적!$A$4:$D$13,3,FALSE)</f>
        <v>1638732.0522491201</v>
      </c>
      <c r="S915" s="9">
        <f>D915*VLOOKUP(F915,보스!$A$4:$E$5,4,FALSE)</f>
        <v>58994353.880968325</v>
      </c>
    </row>
    <row r="916" spans="1:19" ht="21.95" customHeight="1">
      <c r="A916" s="6">
        <v>5913</v>
      </c>
      <c r="B916" s="2" t="s">
        <v>1064</v>
      </c>
      <c r="C916" s="6">
        <v>913</v>
      </c>
      <c r="D916" s="7">
        <v>822347.83590399998</v>
      </c>
      <c r="E916" s="2" t="s">
        <v>152</v>
      </c>
      <c r="F916" s="6">
        <v>2001</v>
      </c>
      <c r="G916" s="6">
        <v>5</v>
      </c>
      <c r="H916" s="7">
        <v>30</v>
      </c>
      <c r="I916" s="6">
        <v>5</v>
      </c>
      <c r="J916" s="6">
        <v>2</v>
      </c>
      <c r="K916" s="6">
        <v>1</v>
      </c>
      <c r="L916" s="6">
        <v>15</v>
      </c>
      <c r="M916" s="6">
        <v>367752</v>
      </c>
      <c r="N916" s="6">
        <v>7355040</v>
      </c>
      <c r="O916" s="6">
        <v>96</v>
      </c>
      <c r="P916" s="7">
        <v>11870.832920000001</v>
      </c>
      <c r="Q916" s="7">
        <v>49913.640299999999</v>
      </c>
      <c r="R916" s="9">
        <f>D916*VLOOKUP(1001,적!$A$4:$D$13,3,FALSE)</f>
        <v>1644695.671808</v>
      </c>
      <c r="S916" s="9">
        <f>D916*VLOOKUP(F916,보스!$A$4:$E$5,4,FALSE)</f>
        <v>59209044.185088001</v>
      </c>
    </row>
    <row r="917" spans="1:19" ht="21.95" customHeight="1">
      <c r="A917" s="6">
        <v>5914</v>
      </c>
      <c r="B917" s="2" t="s">
        <v>1065</v>
      </c>
      <c r="C917" s="6">
        <v>914</v>
      </c>
      <c r="D917" s="7">
        <v>825338.05244352005</v>
      </c>
      <c r="E917" s="2" t="s">
        <v>152</v>
      </c>
      <c r="F917" s="6">
        <v>2002</v>
      </c>
      <c r="G917" s="6">
        <v>5</v>
      </c>
      <c r="H917" s="7">
        <v>30</v>
      </c>
      <c r="I917" s="6">
        <v>5</v>
      </c>
      <c r="J917" s="6">
        <v>2</v>
      </c>
      <c r="K917" s="6">
        <v>1</v>
      </c>
      <c r="L917" s="6">
        <v>15</v>
      </c>
      <c r="M917" s="6">
        <v>368158</v>
      </c>
      <c r="N917" s="6">
        <v>7363160</v>
      </c>
      <c r="O917" s="6">
        <v>96</v>
      </c>
      <c r="P917" s="7">
        <v>11895.096240000001</v>
      </c>
      <c r="Q917" s="7">
        <v>50015.658600000002</v>
      </c>
      <c r="R917" s="9">
        <f>D917*VLOOKUP(1001,적!$A$4:$D$13,3,FALSE)</f>
        <v>1650676.1048870401</v>
      </c>
      <c r="S917" s="9">
        <f>D917*VLOOKUP(F917,보스!$A$4:$E$5,4,FALSE)</f>
        <v>59424339.775933444</v>
      </c>
    </row>
    <row r="918" spans="1:19" ht="21.95" customHeight="1">
      <c r="A918" s="6">
        <v>5915</v>
      </c>
      <c r="B918" s="2" t="s">
        <v>1066</v>
      </c>
      <c r="C918" s="6">
        <v>915</v>
      </c>
      <c r="D918" s="7">
        <v>828336.69230959995</v>
      </c>
      <c r="E918" s="2" t="s">
        <v>152</v>
      </c>
      <c r="F918" s="6">
        <v>2001</v>
      </c>
      <c r="G918" s="6">
        <v>5</v>
      </c>
      <c r="H918" s="7">
        <v>30</v>
      </c>
      <c r="I918" s="6">
        <v>5</v>
      </c>
      <c r="J918" s="6">
        <v>2</v>
      </c>
      <c r="K918" s="6">
        <v>1</v>
      </c>
      <c r="L918" s="6">
        <v>15</v>
      </c>
      <c r="M918" s="6">
        <v>368564</v>
      </c>
      <c r="N918" s="6">
        <v>7371280</v>
      </c>
      <c r="O918" s="6">
        <v>96</v>
      </c>
      <c r="P918" s="7">
        <v>11919.3842</v>
      </c>
      <c r="Q918" s="7">
        <v>50117.780500000001</v>
      </c>
      <c r="R918" s="9">
        <f>D918*VLOOKUP(1001,적!$A$4:$D$13,3,FALSE)</f>
        <v>1656673.3846191999</v>
      </c>
      <c r="S918" s="9">
        <f>D918*VLOOKUP(F918,보스!$A$4:$E$5,4,FALSE)</f>
        <v>59640241.846291199</v>
      </c>
    </row>
    <row r="919" spans="1:19" ht="21.95" customHeight="1">
      <c r="A919" s="6">
        <v>5916</v>
      </c>
      <c r="B919" s="2" t="s">
        <v>1067</v>
      </c>
      <c r="C919" s="6">
        <v>916</v>
      </c>
      <c r="D919" s="7">
        <v>831343.77208599995</v>
      </c>
      <c r="E919" s="2" t="s">
        <v>152</v>
      </c>
      <c r="F919" s="6">
        <v>2002</v>
      </c>
      <c r="G919" s="6">
        <v>5</v>
      </c>
      <c r="H919" s="7">
        <v>30</v>
      </c>
      <c r="I919" s="6">
        <v>5</v>
      </c>
      <c r="J919" s="6">
        <v>2</v>
      </c>
      <c r="K919" s="6">
        <v>1</v>
      </c>
      <c r="L919" s="6">
        <v>15</v>
      </c>
      <c r="M919" s="6">
        <v>368970</v>
      </c>
      <c r="N919" s="6">
        <v>7379400</v>
      </c>
      <c r="O919" s="6">
        <v>96</v>
      </c>
      <c r="P919" s="7">
        <v>11943.6968</v>
      </c>
      <c r="Q919" s="7">
        <v>50220.006000000001</v>
      </c>
      <c r="R919" s="9">
        <f>D919*VLOOKUP(1001,적!$A$4:$D$13,3,FALSE)</f>
        <v>1662687.5441719999</v>
      </c>
      <c r="S919" s="9">
        <f>D919*VLOOKUP(F919,보스!$A$4:$E$5,4,FALSE)</f>
        <v>59856751.590191998</v>
      </c>
    </row>
    <row r="920" spans="1:19" ht="21.95" customHeight="1">
      <c r="A920" s="6">
        <v>5917</v>
      </c>
      <c r="B920" s="2" t="s">
        <v>1068</v>
      </c>
      <c r="C920" s="6">
        <v>917</v>
      </c>
      <c r="D920" s="7">
        <v>834359.30837375997</v>
      </c>
      <c r="E920" s="2" t="s">
        <v>152</v>
      </c>
      <c r="F920" s="6">
        <v>2001</v>
      </c>
      <c r="G920" s="6">
        <v>5</v>
      </c>
      <c r="H920" s="7">
        <v>30</v>
      </c>
      <c r="I920" s="6">
        <v>5</v>
      </c>
      <c r="J920" s="6">
        <v>2</v>
      </c>
      <c r="K920" s="6">
        <v>1</v>
      </c>
      <c r="L920" s="6">
        <v>15</v>
      </c>
      <c r="M920" s="6">
        <v>369376</v>
      </c>
      <c r="N920" s="6">
        <v>7387520</v>
      </c>
      <c r="O920" s="6">
        <v>96</v>
      </c>
      <c r="P920" s="7">
        <v>11968.03404</v>
      </c>
      <c r="Q920" s="7">
        <v>50322.335099999997</v>
      </c>
      <c r="R920" s="9">
        <f>D920*VLOOKUP(1001,적!$A$4:$D$13,3,FALSE)</f>
        <v>1668718.6167475199</v>
      </c>
      <c r="S920" s="9">
        <f>D920*VLOOKUP(F920,보스!$A$4:$E$5,4,FALSE)</f>
        <v>60073870.202910721</v>
      </c>
    </row>
    <row r="921" spans="1:19" ht="21.95" customHeight="1">
      <c r="A921" s="6">
        <v>5918</v>
      </c>
      <c r="B921" s="2" t="s">
        <v>1069</v>
      </c>
      <c r="C921" s="6">
        <v>918</v>
      </c>
      <c r="D921" s="7">
        <v>837383.31779120001</v>
      </c>
      <c r="E921" s="2" t="s">
        <v>152</v>
      </c>
      <c r="F921" s="6">
        <v>2002</v>
      </c>
      <c r="G921" s="6">
        <v>5</v>
      </c>
      <c r="H921" s="7">
        <v>30</v>
      </c>
      <c r="I921" s="6">
        <v>5</v>
      </c>
      <c r="J921" s="6">
        <v>2</v>
      </c>
      <c r="K921" s="6">
        <v>1</v>
      </c>
      <c r="L921" s="6">
        <v>15</v>
      </c>
      <c r="M921" s="6">
        <v>369782</v>
      </c>
      <c r="N921" s="6">
        <v>7395640</v>
      </c>
      <c r="O921" s="6">
        <v>96</v>
      </c>
      <c r="P921" s="7">
        <v>11992.395920000001</v>
      </c>
      <c r="Q921" s="7">
        <v>50424.767800000001</v>
      </c>
      <c r="R921" s="9">
        <f>D921*VLOOKUP(1001,적!$A$4:$D$13,3,FALSE)</f>
        <v>1674766.6355824</v>
      </c>
      <c r="S921" s="9">
        <f>D921*VLOOKUP(F921,보스!$A$4:$E$5,4,FALSE)</f>
        <v>60291598.880966403</v>
      </c>
    </row>
    <row r="922" spans="1:19" ht="21.95" customHeight="1">
      <c r="A922" s="6">
        <v>5919</v>
      </c>
      <c r="B922" s="2" t="s">
        <v>1070</v>
      </c>
      <c r="C922" s="6">
        <v>919</v>
      </c>
      <c r="D922" s="7">
        <v>840415.81697391998</v>
      </c>
      <c r="E922" s="2" t="s">
        <v>152</v>
      </c>
      <c r="F922" s="6">
        <v>2001</v>
      </c>
      <c r="G922" s="6">
        <v>5</v>
      </c>
      <c r="H922" s="7">
        <v>30</v>
      </c>
      <c r="I922" s="6">
        <v>5</v>
      </c>
      <c r="J922" s="6">
        <v>2</v>
      </c>
      <c r="K922" s="6">
        <v>1</v>
      </c>
      <c r="L922" s="6">
        <v>15</v>
      </c>
      <c r="M922" s="6">
        <v>370188</v>
      </c>
      <c r="N922" s="6">
        <v>7403760</v>
      </c>
      <c r="O922" s="6">
        <v>96</v>
      </c>
      <c r="P922" s="7">
        <v>12016.782440000001</v>
      </c>
      <c r="Q922" s="7">
        <v>50527.304100000001</v>
      </c>
      <c r="R922" s="9">
        <f>D922*VLOOKUP(1001,적!$A$4:$D$13,3,FALSE)</f>
        <v>1680831.63394784</v>
      </c>
      <c r="S922" s="9">
        <f>D922*VLOOKUP(F922,보스!$A$4:$E$5,4,FALSE)</f>
        <v>60509938.822122239</v>
      </c>
    </row>
    <row r="923" spans="1:19" ht="21.95" customHeight="1">
      <c r="A923" s="6">
        <v>5920</v>
      </c>
      <c r="B923" s="2" t="s">
        <v>1071</v>
      </c>
      <c r="C923" s="6">
        <v>920</v>
      </c>
      <c r="D923" s="7">
        <v>843456.8225748</v>
      </c>
      <c r="E923" s="2" t="s">
        <v>152</v>
      </c>
      <c r="F923" s="6">
        <v>2002</v>
      </c>
      <c r="G923" s="6">
        <v>5</v>
      </c>
      <c r="H923" s="7">
        <v>30</v>
      </c>
      <c r="I923" s="6">
        <v>5</v>
      </c>
      <c r="J923" s="6">
        <v>2</v>
      </c>
      <c r="K923" s="6">
        <v>1</v>
      </c>
      <c r="L923" s="6">
        <v>15</v>
      </c>
      <c r="M923" s="6">
        <v>370594</v>
      </c>
      <c r="N923" s="6">
        <v>7411880</v>
      </c>
      <c r="O923" s="6">
        <v>97</v>
      </c>
      <c r="P923" s="7">
        <v>12041.193600000001</v>
      </c>
      <c r="Q923" s="7">
        <v>50629.944000000003</v>
      </c>
      <c r="R923" s="9">
        <f>D923*VLOOKUP(1001,적!$A$4:$D$13,3,FALSE)</f>
        <v>1686913.6451496</v>
      </c>
      <c r="S923" s="9">
        <f>D923*VLOOKUP(F923,보스!$A$4:$E$5,4,FALSE)</f>
        <v>60728891.225385599</v>
      </c>
    </row>
    <row r="924" spans="1:19" ht="21.95" customHeight="1">
      <c r="A924" s="6">
        <v>5921</v>
      </c>
      <c r="B924" s="2" t="s">
        <v>1072</v>
      </c>
      <c r="C924" s="6">
        <v>921</v>
      </c>
      <c r="D924" s="7">
        <v>846506.35126400006</v>
      </c>
      <c r="E924" s="2" t="s">
        <v>152</v>
      </c>
      <c r="F924" s="6">
        <v>2001</v>
      </c>
      <c r="G924" s="6">
        <v>5</v>
      </c>
      <c r="H924" s="7">
        <v>30</v>
      </c>
      <c r="I924" s="6">
        <v>5</v>
      </c>
      <c r="J924" s="6">
        <v>2</v>
      </c>
      <c r="K924" s="6">
        <v>1</v>
      </c>
      <c r="L924" s="6">
        <v>15</v>
      </c>
      <c r="M924" s="6">
        <v>371000</v>
      </c>
      <c r="N924" s="6">
        <v>7420000</v>
      </c>
      <c r="O924" s="6">
        <v>97</v>
      </c>
      <c r="P924" s="7">
        <v>12065.6294</v>
      </c>
      <c r="Q924" s="7">
        <v>50732.6875</v>
      </c>
      <c r="R924" s="9">
        <f>D924*VLOOKUP(1001,적!$A$4:$D$13,3,FALSE)</f>
        <v>1693012.7025280001</v>
      </c>
      <c r="S924" s="9">
        <f>D924*VLOOKUP(F924,보스!$A$4:$E$5,4,FALSE)</f>
        <v>60948457.291008003</v>
      </c>
    </row>
    <row r="925" spans="1:19" ht="21.95" customHeight="1">
      <c r="A925" s="6">
        <v>5922</v>
      </c>
      <c r="B925" s="2" t="s">
        <v>1073</v>
      </c>
      <c r="C925" s="6">
        <v>922</v>
      </c>
      <c r="D925" s="7">
        <v>849564.41972896003</v>
      </c>
      <c r="E925" s="2" t="s">
        <v>152</v>
      </c>
      <c r="F925" s="6">
        <v>2002</v>
      </c>
      <c r="G925" s="6">
        <v>5</v>
      </c>
      <c r="H925" s="7">
        <v>30</v>
      </c>
      <c r="I925" s="6">
        <v>5</v>
      </c>
      <c r="J925" s="6">
        <v>2</v>
      </c>
      <c r="K925" s="6">
        <v>1</v>
      </c>
      <c r="L925" s="6">
        <v>15</v>
      </c>
      <c r="M925" s="6">
        <v>371407</v>
      </c>
      <c r="N925" s="6">
        <v>7428140</v>
      </c>
      <c r="O925" s="6">
        <v>97</v>
      </c>
      <c r="P925" s="7">
        <v>12090.089840000001</v>
      </c>
      <c r="Q925" s="7">
        <v>50835.534599999999</v>
      </c>
      <c r="R925" s="9">
        <f>D925*VLOOKUP(1001,적!$A$4:$D$13,3,FALSE)</f>
        <v>1699128.8394579201</v>
      </c>
      <c r="S925" s="9">
        <f>D925*VLOOKUP(F925,보스!$A$4:$E$5,4,FALSE)</f>
        <v>61168638.220485121</v>
      </c>
    </row>
    <row r="926" spans="1:19" ht="21.95" customHeight="1">
      <c r="A926" s="6">
        <v>5923</v>
      </c>
      <c r="B926" s="2" t="s">
        <v>1074</v>
      </c>
      <c r="C926" s="6">
        <v>923</v>
      </c>
      <c r="D926" s="7">
        <v>852631.04467440001</v>
      </c>
      <c r="E926" s="2" t="s">
        <v>152</v>
      </c>
      <c r="F926" s="6">
        <v>2001</v>
      </c>
      <c r="G926" s="6">
        <v>5</v>
      </c>
      <c r="H926" s="7">
        <v>30</v>
      </c>
      <c r="I926" s="6">
        <v>5</v>
      </c>
      <c r="J926" s="6">
        <v>2</v>
      </c>
      <c r="K926" s="6">
        <v>1</v>
      </c>
      <c r="L926" s="6">
        <v>15</v>
      </c>
      <c r="M926" s="6">
        <v>371813</v>
      </c>
      <c r="N926" s="6">
        <v>7436260</v>
      </c>
      <c r="O926" s="6">
        <v>97</v>
      </c>
      <c r="P926" s="7">
        <v>12114.574919999999</v>
      </c>
      <c r="Q926" s="7">
        <v>50938.4853</v>
      </c>
      <c r="R926" s="9">
        <f>D926*VLOOKUP(1001,적!$A$4:$D$13,3,FALSE)</f>
        <v>1705262.0893488</v>
      </c>
      <c r="S926" s="9">
        <f>D926*VLOOKUP(F926,보스!$A$4:$E$5,4,FALSE)</f>
        <v>61389435.216556802</v>
      </c>
    </row>
    <row r="927" spans="1:19" ht="21.95" customHeight="1">
      <c r="A927" s="6">
        <v>5924</v>
      </c>
      <c r="B927" s="2" t="s">
        <v>1075</v>
      </c>
      <c r="C927" s="6">
        <v>924</v>
      </c>
      <c r="D927" s="7">
        <v>855706.24282231997</v>
      </c>
      <c r="E927" s="2" t="s">
        <v>152</v>
      </c>
      <c r="F927" s="6">
        <v>2002</v>
      </c>
      <c r="G927" s="6">
        <v>5</v>
      </c>
      <c r="H927" s="7">
        <v>30</v>
      </c>
      <c r="I927" s="6">
        <v>5</v>
      </c>
      <c r="J927" s="6">
        <v>2</v>
      </c>
      <c r="K927" s="6">
        <v>1</v>
      </c>
      <c r="L927" s="6">
        <v>15</v>
      </c>
      <c r="M927" s="6">
        <v>372219</v>
      </c>
      <c r="N927" s="6">
        <v>7444380</v>
      </c>
      <c r="O927" s="6">
        <v>97</v>
      </c>
      <c r="P927" s="7">
        <v>12139.084639999999</v>
      </c>
      <c r="Q927" s="7">
        <v>51041.539599999996</v>
      </c>
      <c r="R927" s="9">
        <f>D927*VLOOKUP(1001,적!$A$4:$D$13,3,FALSE)</f>
        <v>1711412.4856446399</v>
      </c>
      <c r="S927" s="9">
        <f>D927*VLOOKUP(F927,보스!$A$4:$E$5,4,FALSE)</f>
        <v>61610849.48320704</v>
      </c>
    </row>
    <row r="928" spans="1:19" ht="21.95" customHeight="1">
      <c r="A928" s="6">
        <v>5925</v>
      </c>
      <c r="B928" s="2" t="s">
        <v>1076</v>
      </c>
      <c r="C928" s="6">
        <v>925</v>
      </c>
      <c r="D928" s="7">
        <v>858790.03091199999</v>
      </c>
      <c r="E928" s="2" t="s">
        <v>152</v>
      </c>
      <c r="F928" s="6">
        <v>2001</v>
      </c>
      <c r="G928" s="6">
        <v>5</v>
      </c>
      <c r="H928" s="7">
        <v>30</v>
      </c>
      <c r="I928" s="6">
        <v>5</v>
      </c>
      <c r="J928" s="6">
        <v>2</v>
      </c>
      <c r="K928" s="6">
        <v>1</v>
      </c>
      <c r="L928" s="6">
        <v>15</v>
      </c>
      <c r="M928" s="6">
        <v>372625</v>
      </c>
      <c r="N928" s="6">
        <v>7452500</v>
      </c>
      <c r="O928" s="6">
        <v>97</v>
      </c>
      <c r="P928" s="7">
        <v>12163.619000000001</v>
      </c>
      <c r="Q928" s="7">
        <v>51144.697500000002</v>
      </c>
      <c r="R928" s="9">
        <f>D928*VLOOKUP(1001,적!$A$4:$D$13,3,FALSE)</f>
        <v>1717580.061824</v>
      </c>
      <c r="S928" s="9">
        <f>D928*VLOOKUP(F928,보스!$A$4:$E$5,4,FALSE)</f>
        <v>61832882.225663997</v>
      </c>
    </row>
    <row r="929" spans="1:19" ht="21.95" customHeight="1">
      <c r="A929" s="6">
        <v>5926</v>
      </c>
      <c r="B929" s="2" t="s">
        <v>1077</v>
      </c>
      <c r="C929" s="6">
        <v>926</v>
      </c>
      <c r="D929" s="7">
        <v>861882.42570000002</v>
      </c>
      <c r="E929" s="2" t="s">
        <v>152</v>
      </c>
      <c r="F929" s="6">
        <v>2002</v>
      </c>
      <c r="G929" s="6">
        <v>5</v>
      </c>
      <c r="H929" s="7">
        <v>30</v>
      </c>
      <c r="I929" s="6">
        <v>5</v>
      </c>
      <c r="J929" s="6">
        <v>2</v>
      </c>
      <c r="K929" s="6">
        <v>1</v>
      </c>
      <c r="L929" s="6">
        <v>15</v>
      </c>
      <c r="M929" s="6">
        <v>373031</v>
      </c>
      <c r="N929" s="6">
        <v>7460620</v>
      </c>
      <c r="O929" s="6">
        <v>97</v>
      </c>
      <c r="P929" s="7">
        <v>12188.178</v>
      </c>
      <c r="Q929" s="7">
        <v>51247.959000000003</v>
      </c>
      <c r="R929" s="9">
        <f>D929*VLOOKUP(1001,적!$A$4:$D$13,3,FALSE)</f>
        <v>1723764.8514</v>
      </c>
      <c r="S929" s="9">
        <f>D929*VLOOKUP(F929,보스!$A$4:$E$5,4,FALSE)</f>
        <v>62055534.650399998</v>
      </c>
    </row>
    <row r="930" spans="1:19" ht="21.95" customHeight="1">
      <c r="A930" s="6">
        <v>5927</v>
      </c>
      <c r="B930" s="2" t="s">
        <v>1078</v>
      </c>
      <c r="C930" s="6">
        <v>927</v>
      </c>
      <c r="D930" s="7">
        <v>864983.44396016002</v>
      </c>
      <c r="E930" s="2" t="s">
        <v>152</v>
      </c>
      <c r="F930" s="6">
        <v>2001</v>
      </c>
      <c r="G930" s="6">
        <v>5</v>
      </c>
      <c r="H930" s="7">
        <v>30</v>
      </c>
      <c r="I930" s="6">
        <v>5</v>
      </c>
      <c r="J930" s="6">
        <v>2</v>
      </c>
      <c r="K930" s="6">
        <v>1</v>
      </c>
      <c r="L930" s="6">
        <v>15</v>
      </c>
      <c r="M930" s="6">
        <v>373437</v>
      </c>
      <c r="N930" s="6">
        <v>7468740</v>
      </c>
      <c r="O930" s="6">
        <v>97</v>
      </c>
      <c r="P930" s="7">
        <v>12212.761640000001</v>
      </c>
      <c r="Q930" s="7">
        <v>51351.324099999998</v>
      </c>
      <c r="R930" s="9">
        <f>D930*VLOOKUP(1001,적!$A$4:$D$13,3,FALSE)</f>
        <v>1729966.88792032</v>
      </c>
      <c r="S930" s="9">
        <f>D930*VLOOKUP(F930,보스!$A$4:$E$5,4,FALSE)</f>
        <v>62278807.965131521</v>
      </c>
    </row>
    <row r="931" spans="1:19" ht="21.95" customHeight="1">
      <c r="A931" s="6">
        <v>5928</v>
      </c>
      <c r="B931" s="2" t="s">
        <v>1079</v>
      </c>
      <c r="C931" s="6">
        <v>928</v>
      </c>
      <c r="D931" s="7">
        <v>868093.10248360003</v>
      </c>
      <c r="E931" s="2" t="s">
        <v>152</v>
      </c>
      <c r="F931" s="6">
        <v>2002</v>
      </c>
      <c r="G931" s="6">
        <v>5</v>
      </c>
      <c r="H931" s="7">
        <v>30</v>
      </c>
      <c r="I931" s="6">
        <v>5</v>
      </c>
      <c r="J931" s="6">
        <v>2</v>
      </c>
      <c r="K931" s="6">
        <v>1</v>
      </c>
      <c r="L931" s="6">
        <v>15</v>
      </c>
      <c r="M931" s="6">
        <v>373843</v>
      </c>
      <c r="N931" s="6">
        <v>7476860</v>
      </c>
      <c r="O931" s="6">
        <v>97</v>
      </c>
      <c r="P931" s="7">
        <v>12237.369919999999</v>
      </c>
      <c r="Q931" s="7">
        <v>51454.792800000003</v>
      </c>
      <c r="R931" s="9">
        <f>D931*VLOOKUP(1001,적!$A$4:$D$13,3,FALSE)</f>
        <v>1736186.2049672001</v>
      </c>
      <c r="S931" s="9">
        <f>D931*VLOOKUP(F931,보스!$A$4:$E$5,4,FALSE)</f>
        <v>62502703.378819205</v>
      </c>
    </row>
    <row r="932" spans="1:19" ht="21.95" customHeight="1">
      <c r="A932" s="6">
        <v>5929</v>
      </c>
      <c r="B932" s="2" t="s">
        <v>1080</v>
      </c>
      <c r="C932" s="6">
        <v>929</v>
      </c>
      <c r="D932" s="7">
        <v>871211.41807871999</v>
      </c>
      <c r="E932" s="2" t="s">
        <v>152</v>
      </c>
      <c r="F932" s="6">
        <v>2001</v>
      </c>
      <c r="G932" s="6">
        <v>5</v>
      </c>
      <c r="H932" s="7">
        <v>30</v>
      </c>
      <c r="I932" s="6">
        <v>5</v>
      </c>
      <c r="J932" s="6">
        <v>2</v>
      </c>
      <c r="K932" s="6">
        <v>1</v>
      </c>
      <c r="L932" s="6">
        <v>15</v>
      </c>
      <c r="M932" s="6">
        <v>374249</v>
      </c>
      <c r="N932" s="6">
        <v>7484980</v>
      </c>
      <c r="O932" s="6">
        <v>97</v>
      </c>
      <c r="P932" s="7">
        <v>12262.002839999999</v>
      </c>
      <c r="Q932" s="7">
        <v>51558.365100000003</v>
      </c>
      <c r="R932" s="9">
        <f>D932*VLOOKUP(1001,적!$A$4:$D$13,3,FALSE)</f>
        <v>1742422.83615744</v>
      </c>
      <c r="S932" s="9">
        <f>D932*VLOOKUP(F932,보스!$A$4:$E$5,4,FALSE)</f>
        <v>62727222.101667836</v>
      </c>
    </row>
    <row r="933" spans="1:19" ht="21.95" customHeight="1">
      <c r="A933" s="6">
        <v>5930</v>
      </c>
      <c r="B933" s="2" t="s">
        <v>1081</v>
      </c>
      <c r="C933" s="6">
        <v>930</v>
      </c>
      <c r="D933" s="7">
        <v>874338.40757120005</v>
      </c>
      <c r="E933" s="2" t="s">
        <v>152</v>
      </c>
      <c r="F933" s="6">
        <v>2002</v>
      </c>
      <c r="G933" s="6">
        <v>5</v>
      </c>
      <c r="H933" s="7">
        <v>30</v>
      </c>
      <c r="I933" s="6">
        <v>5</v>
      </c>
      <c r="J933" s="6">
        <v>2</v>
      </c>
      <c r="K933" s="6">
        <v>1</v>
      </c>
      <c r="L933" s="6">
        <v>15</v>
      </c>
      <c r="M933" s="6">
        <v>374655</v>
      </c>
      <c r="N933" s="6">
        <v>7493100</v>
      </c>
      <c r="O933" s="6">
        <v>98</v>
      </c>
      <c r="P933" s="7">
        <v>12286.660400000001</v>
      </c>
      <c r="Q933" s="7">
        <v>51662.040999999997</v>
      </c>
      <c r="R933" s="9">
        <f>D933*VLOOKUP(1001,적!$A$4:$D$13,3,FALSE)</f>
        <v>1748676.8151424001</v>
      </c>
      <c r="S933" s="9">
        <f>D933*VLOOKUP(F933,보스!$A$4:$E$5,4,FALSE)</f>
        <v>62952365.345126405</v>
      </c>
    </row>
    <row r="934" spans="1:19" ht="21.95" customHeight="1">
      <c r="A934" s="6">
        <v>5931</v>
      </c>
      <c r="B934" s="2" t="s">
        <v>1082</v>
      </c>
      <c r="C934" s="6">
        <v>931</v>
      </c>
      <c r="D934" s="7">
        <v>877474.08780400001</v>
      </c>
      <c r="E934" s="2" t="s">
        <v>152</v>
      </c>
      <c r="F934" s="6">
        <v>2001</v>
      </c>
      <c r="G934" s="6">
        <v>5</v>
      </c>
      <c r="H934" s="7">
        <v>30</v>
      </c>
      <c r="I934" s="6">
        <v>5</v>
      </c>
      <c r="J934" s="6">
        <v>2</v>
      </c>
      <c r="K934" s="6">
        <v>1</v>
      </c>
      <c r="L934" s="6">
        <v>15</v>
      </c>
      <c r="M934" s="6">
        <v>375061</v>
      </c>
      <c r="N934" s="6">
        <v>7501220</v>
      </c>
      <c r="O934" s="6">
        <v>98</v>
      </c>
      <c r="P934" s="7">
        <v>12311.3426</v>
      </c>
      <c r="Q934" s="7">
        <v>51765.820500000002</v>
      </c>
      <c r="R934" s="9">
        <f>D934*VLOOKUP(1001,적!$A$4:$D$13,3,FALSE)</f>
        <v>1754948.175608</v>
      </c>
      <c r="S934" s="9">
        <f>D934*VLOOKUP(F934,보스!$A$4:$E$5,4,FALSE)</f>
        <v>63178134.321888</v>
      </c>
    </row>
    <row r="935" spans="1:19" ht="21.95" customHeight="1">
      <c r="A935" s="6">
        <v>5932</v>
      </c>
      <c r="B935" s="2" t="s">
        <v>1083</v>
      </c>
      <c r="C935" s="6">
        <v>932</v>
      </c>
      <c r="D935" s="7">
        <v>880618.47563736001</v>
      </c>
      <c r="E935" s="2" t="s">
        <v>152</v>
      </c>
      <c r="F935" s="6">
        <v>2002</v>
      </c>
      <c r="G935" s="6">
        <v>5</v>
      </c>
      <c r="H935" s="7">
        <v>30</v>
      </c>
      <c r="I935" s="6">
        <v>5</v>
      </c>
      <c r="J935" s="6">
        <v>2</v>
      </c>
      <c r="K935" s="6">
        <v>1</v>
      </c>
      <c r="L935" s="6">
        <v>15</v>
      </c>
      <c r="M935" s="6">
        <v>375467</v>
      </c>
      <c r="N935" s="6">
        <v>7509340</v>
      </c>
      <c r="O935" s="6">
        <v>98</v>
      </c>
      <c r="P935" s="7">
        <v>12336.049440000001</v>
      </c>
      <c r="Q935" s="7">
        <v>51869.703600000001</v>
      </c>
      <c r="R935" s="9">
        <f>D935*VLOOKUP(1001,적!$A$4:$D$13,3,FALSE)</f>
        <v>1761236.95127472</v>
      </c>
      <c r="S935" s="9">
        <f>D935*VLOOKUP(F935,보스!$A$4:$E$5,4,FALSE)</f>
        <v>63404530.245889917</v>
      </c>
    </row>
    <row r="936" spans="1:19" ht="21.95" customHeight="1">
      <c r="A936" s="6">
        <v>5933</v>
      </c>
      <c r="B936" s="2" t="s">
        <v>1084</v>
      </c>
      <c r="C936" s="6">
        <v>933</v>
      </c>
      <c r="D936" s="7">
        <v>883771.58794879995</v>
      </c>
      <c r="E936" s="2" t="s">
        <v>152</v>
      </c>
      <c r="F936" s="6">
        <v>2001</v>
      </c>
      <c r="G936" s="6">
        <v>5</v>
      </c>
      <c r="H936" s="7">
        <v>30</v>
      </c>
      <c r="I936" s="6">
        <v>5</v>
      </c>
      <c r="J936" s="6">
        <v>2</v>
      </c>
      <c r="K936" s="6">
        <v>1</v>
      </c>
      <c r="L936" s="6">
        <v>15</v>
      </c>
      <c r="M936" s="6">
        <v>375873</v>
      </c>
      <c r="N936" s="6">
        <v>7517460</v>
      </c>
      <c r="O936" s="6">
        <v>98</v>
      </c>
      <c r="P936" s="7">
        <v>12360.780919999999</v>
      </c>
      <c r="Q936" s="7">
        <v>51973.690300000002</v>
      </c>
      <c r="R936" s="9">
        <f>D936*VLOOKUP(1001,적!$A$4:$D$13,3,FALSE)</f>
        <v>1767543.1758975999</v>
      </c>
      <c r="S936" s="9">
        <f>D936*VLOOKUP(F936,보스!$A$4:$E$5,4,FALSE)</f>
        <v>63631554.332313597</v>
      </c>
    </row>
    <row r="937" spans="1:19" ht="21.95" customHeight="1">
      <c r="A937" s="6">
        <v>5934</v>
      </c>
      <c r="B937" s="2" t="s">
        <v>1085</v>
      </c>
      <c r="C937" s="6">
        <v>934</v>
      </c>
      <c r="D937" s="7">
        <v>886933.44163311995</v>
      </c>
      <c r="E937" s="2" t="s">
        <v>152</v>
      </c>
      <c r="F937" s="6">
        <v>2002</v>
      </c>
      <c r="G937" s="6">
        <v>5</v>
      </c>
      <c r="H937" s="7">
        <v>30</v>
      </c>
      <c r="I937" s="6">
        <v>5</v>
      </c>
      <c r="J937" s="6">
        <v>2</v>
      </c>
      <c r="K937" s="6">
        <v>1</v>
      </c>
      <c r="L937" s="6">
        <v>15</v>
      </c>
      <c r="M937" s="6">
        <v>376279</v>
      </c>
      <c r="N937" s="6">
        <v>7525580</v>
      </c>
      <c r="O937" s="6">
        <v>98</v>
      </c>
      <c r="P937" s="7">
        <v>12385.537039999999</v>
      </c>
      <c r="Q937" s="7">
        <v>52077.780599999998</v>
      </c>
      <c r="R937" s="9">
        <f>D937*VLOOKUP(1001,적!$A$4:$D$13,3,FALSE)</f>
        <v>1773866.8832662399</v>
      </c>
      <c r="S937" s="9">
        <f>D937*VLOOKUP(F937,보스!$A$4:$E$5,4,FALSE)</f>
        <v>63859207.797584638</v>
      </c>
    </row>
    <row r="938" spans="1:19" ht="21.95" customHeight="1">
      <c r="A938" s="6">
        <v>5935</v>
      </c>
      <c r="B938" s="2" t="s">
        <v>1086</v>
      </c>
      <c r="C938" s="6">
        <v>935</v>
      </c>
      <c r="D938" s="7">
        <v>890104.0536024</v>
      </c>
      <c r="E938" s="2" t="s">
        <v>152</v>
      </c>
      <c r="F938" s="6">
        <v>2001</v>
      </c>
      <c r="G938" s="6">
        <v>5</v>
      </c>
      <c r="H938" s="7">
        <v>30</v>
      </c>
      <c r="I938" s="6">
        <v>5</v>
      </c>
      <c r="J938" s="6">
        <v>2</v>
      </c>
      <c r="K938" s="6">
        <v>1</v>
      </c>
      <c r="L938" s="6">
        <v>15</v>
      </c>
      <c r="M938" s="6">
        <v>376685</v>
      </c>
      <c r="N938" s="6">
        <v>7533700</v>
      </c>
      <c r="O938" s="6">
        <v>98</v>
      </c>
      <c r="P938" s="7">
        <v>12410.317800000001</v>
      </c>
      <c r="Q938" s="7">
        <v>52181.974499999997</v>
      </c>
      <c r="R938" s="9">
        <f>D938*VLOOKUP(1001,적!$A$4:$D$13,3,FALSE)</f>
        <v>1780208.1072048</v>
      </c>
      <c r="S938" s="9">
        <f>D938*VLOOKUP(F938,보스!$A$4:$E$5,4,FALSE)</f>
        <v>64087491.859372802</v>
      </c>
    </row>
    <row r="939" spans="1:19" ht="21.95" customHeight="1">
      <c r="A939" s="6">
        <v>5936</v>
      </c>
      <c r="B939" s="2" t="s">
        <v>1087</v>
      </c>
      <c r="C939" s="6">
        <v>936</v>
      </c>
      <c r="D939" s="7">
        <v>893283.44078599999</v>
      </c>
      <c r="E939" s="2" t="s">
        <v>152</v>
      </c>
      <c r="F939" s="6">
        <v>2002</v>
      </c>
      <c r="G939" s="6">
        <v>5</v>
      </c>
      <c r="H939" s="7">
        <v>30</v>
      </c>
      <c r="I939" s="6">
        <v>5</v>
      </c>
      <c r="J939" s="6">
        <v>2</v>
      </c>
      <c r="K939" s="6">
        <v>1</v>
      </c>
      <c r="L939" s="6">
        <v>15</v>
      </c>
      <c r="M939" s="6">
        <v>377091</v>
      </c>
      <c r="N939" s="6">
        <v>7541820</v>
      </c>
      <c r="O939" s="6">
        <v>98</v>
      </c>
      <c r="P939" s="7">
        <v>12435.1232</v>
      </c>
      <c r="Q939" s="7">
        <v>52286.271999999997</v>
      </c>
      <c r="R939" s="9">
        <f>D939*VLOOKUP(1001,적!$A$4:$D$13,3,FALSE)</f>
        <v>1786566.881572</v>
      </c>
      <c r="S939" s="9">
        <f>D939*VLOOKUP(F939,보스!$A$4:$E$5,4,FALSE)</f>
        <v>64316407.736592002</v>
      </c>
    </row>
    <row r="940" spans="1:19" ht="21.95" customHeight="1">
      <c r="A940" s="6">
        <v>5937</v>
      </c>
      <c r="B940" s="2" t="s">
        <v>1088</v>
      </c>
      <c r="C940" s="6">
        <v>937</v>
      </c>
      <c r="D940" s="7">
        <v>896471.62013056001</v>
      </c>
      <c r="E940" s="2" t="s">
        <v>152</v>
      </c>
      <c r="F940" s="6">
        <v>2001</v>
      </c>
      <c r="G940" s="6">
        <v>5</v>
      </c>
      <c r="H940" s="7">
        <v>30</v>
      </c>
      <c r="I940" s="6">
        <v>5</v>
      </c>
      <c r="J940" s="6">
        <v>2</v>
      </c>
      <c r="K940" s="6">
        <v>1</v>
      </c>
      <c r="L940" s="6">
        <v>15</v>
      </c>
      <c r="M940" s="6">
        <v>377497</v>
      </c>
      <c r="N940" s="6">
        <v>7549940</v>
      </c>
      <c r="O940" s="6">
        <v>98</v>
      </c>
      <c r="P940" s="7">
        <v>12459.953240000001</v>
      </c>
      <c r="Q940" s="7">
        <v>52390.6731</v>
      </c>
      <c r="R940" s="9">
        <f>D940*VLOOKUP(1001,적!$A$4:$D$13,3,FALSE)</f>
        <v>1792943.24026112</v>
      </c>
      <c r="S940" s="9">
        <f>D940*VLOOKUP(F940,보스!$A$4:$E$5,4,FALSE)</f>
        <v>64545956.649400324</v>
      </c>
    </row>
    <row r="941" spans="1:19" ht="21.95" customHeight="1">
      <c r="A941" s="6">
        <v>5938</v>
      </c>
      <c r="B941" s="2" t="s">
        <v>1089</v>
      </c>
      <c r="C941" s="6">
        <v>938</v>
      </c>
      <c r="D941" s="7">
        <v>899668.60860000004</v>
      </c>
      <c r="E941" s="2" t="s">
        <v>152</v>
      </c>
      <c r="F941" s="6">
        <v>2002</v>
      </c>
      <c r="G941" s="6">
        <v>5</v>
      </c>
      <c r="H941" s="7">
        <v>30</v>
      </c>
      <c r="I941" s="6">
        <v>5</v>
      </c>
      <c r="J941" s="6">
        <v>2</v>
      </c>
      <c r="K941" s="6">
        <v>1</v>
      </c>
      <c r="L941" s="6">
        <v>15</v>
      </c>
      <c r="M941" s="6">
        <v>377903</v>
      </c>
      <c r="N941" s="6">
        <v>7558060</v>
      </c>
      <c r="O941" s="6">
        <v>98</v>
      </c>
      <c r="P941" s="7">
        <v>12484.807919999999</v>
      </c>
      <c r="Q941" s="7">
        <v>52495.177799999998</v>
      </c>
      <c r="R941" s="9">
        <f>D941*VLOOKUP(1001,적!$A$4:$D$13,3,FALSE)</f>
        <v>1799337.2172000001</v>
      </c>
      <c r="S941" s="9">
        <f>D941*VLOOKUP(F941,보스!$A$4:$E$5,4,FALSE)</f>
        <v>64776139.819200002</v>
      </c>
    </row>
    <row r="942" spans="1:19" ht="21.95" customHeight="1">
      <c r="A942" s="6">
        <v>5939</v>
      </c>
      <c r="B942" s="2" t="s">
        <v>1090</v>
      </c>
      <c r="C942" s="6">
        <v>939</v>
      </c>
      <c r="D942" s="7">
        <v>902874.42317552003</v>
      </c>
      <c r="E942" s="2" t="s">
        <v>152</v>
      </c>
      <c r="F942" s="6">
        <v>2001</v>
      </c>
      <c r="G942" s="6">
        <v>5</v>
      </c>
      <c r="H942" s="7">
        <v>30</v>
      </c>
      <c r="I942" s="6">
        <v>5</v>
      </c>
      <c r="J942" s="6">
        <v>2</v>
      </c>
      <c r="K942" s="6">
        <v>1</v>
      </c>
      <c r="L942" s="6">
        <v>15</v>
      </c>
      <c r="M942" s="6">
        <v>378309</v>
      </c>
      <c r="N942" s="6">
        <v>7566180</v>
      </c>
      <c r="O942" s="6">
        <v>98</v>
      </c>
      <c r="P942" s="7">
        <v>12509.687239999999</v>
      </c>
      <c r="Q942" s="7">
        <v>52599.786099999998</v>
      </c>
      <c r="R942" s="9">
        <f>D942*VLOOKUP(1001,적!$A$4:$D$13,3,FALSE)</f>
        <v>1805748.8463510401</v>
      </c>
      <c r="S942" s="9">
        <f>D942*VLOOKUP(F942,보스!$A$4:$E$5,4,FALSE)</f>
        <v>65006958.468637444</v>
      </c>
    </row>
    <row r="943" spans="1:19" ht="21.95" customHeight="1">
      <c r="A943" s="6">
        <v>5940</v>
      </c>
      <c r="B943" s="2" t="s">
        <v>1091</v>
      </c>
      <c r="C943" s="6">
        <v>940</v>
      </c>
      <c r="D943" s="7">
        <v>906089.08085559995</v>
      </c>
      <c r="E943" s="2" t="s">
        <v>152</v>
      </c>
      <c r="F943" s="6">
        <v>2002</v>
      </c>
      <c r="G943" s="6">
        <v>5</v>
      </c>
      <c r="H943" s="7">
        <v>30</v>
      </c>
      <c r="I943" s="6">
        <v>5</v>
      </c>
      <c r="J943" s="6">
        <v>2</v>
      </c>
      <c r="K943" s="6">
        <v>1</v>
      </c>
      <c r="L943" s="6">
        <v>15</v>
      </c>
      <c r="M943" s="6">
        <v>378715</v>
      </c>
      <c r="N943" s="6">
        <v>7574300</v>
      </c>
      <c r="O943" s="6">
        <v>99</v>
      </c>
      <c r="P943" s="7">
        <v>12534.591200000001</v>
      </c>
      <c r="Q943" s="7">
        <v>52704.498</v>
      </c>
      <c r="R943" s="9">
        <f>D943*VLOOKUP(1001,적!$A$4:$D$13,3,FALSE)</f>
        <v>1812178.1617111999</v>
      </c>
      <c r="S943" s="9">
        <f>D943*VLOOKUP(F943,보스!$A$4:$E$5,4,FALSE)</f>
        <v>65238413.821603194</v>
      </c>
    </row>
    <row r="944" spans="1:19" ht="21.95" customHeight="1">
      <c r="A944" s="6">
        <v>5941</v>
      </c>
      <c r="B944" s="2" t="s">
        <v>1092</v>
      </c>
      <c r="C944" s="6">
        <v>941</v>
      </c>
      <c r="D944" s="7">
        <v>909312.59865599999</v>
      </c>
      <c r="E944" s="2" t="s">
        <v>152</v>
      </c>
      <c r="F944" s="6">
        <v>2001</v>
      </c>
      <c r="G944" s="6">
        <v>5</v>
      </c>
      <c r="H944" s="7">
        <v>30</v>
      </c>
      <c r="I944" s="6">
        <v>5</v>
      </c>
      <c r="J944" s="6">
        <v>2</v>
      </c>
      <c r="K944" s="6">
        <v>1</v>
      </c>
      <c r="L944" s="6">
        <v>15</v>
      </c>
      <c r="M944" s="6">
        <v>379121</v>
      </c>
      <c r="N944" s="6">
        <v>7582420</v>
      </c>
      <c r="O944" s="6">
        <v>99</v>
      </c>
      <c r="P944" s="7">
        <v>12559.5198</v>
      </c>
      <c r="Q944" s="7">
        <v>52809.313499999997</v>
      </c>
      <c r="R944" s="9">
        <f>D944*VLOOKUP(1001,적!$A$4:$D$13,3,FALSE)</f>
        <v>1818625.197312</v>
      </c>
      <c r="S944" s="9">
        <f>D944*VLOOKUP(F944,보스!$A$4:$E$5,4,FALSE)</f>
        <v>65470507.103231996</v>
      </c>
    </row>
    <row r="945" spans="1:19" ht="21.95" customHeight="1">
      <c r="A945" s="6">
        <v>5942</v>
      </c>
      <c r="B945" s="2" t="s">
        <v>1093</v>
      </c>
      <c r="C945" s="6">
        <v>942</v>
      </c>
      <c r="D945" s="7">
        <v>912544.99360975996</v>
      </c>
      <c r="E945" s="2" t="s">
        <v>152</v>
      </c>
      <c r="F945" s="6">
        <v>2002</v>
      </c>
      <c r="G945" s="6">
        <v>5</v>
      </c>
      <c r="H945" s="7">
        <v>30</v>
      </c>
      <c r="I945" s="6">
        <v>5</v>
      </c>
      <c r="J945" s="6">
        <v>2</v>
      </c>
      <c r="K945" s="6">
        <v>1</v>
      </c>
      <c r="L945" s="6">
        <v>15</v>
      </c>
      <c r="M945" s="6">
        <v>379527</v>
      </c>
      <c r="N945" s="6">
        <v>7590540</v>
      </c>
      <c r="O945" s="6">
        <v>99</v>
      </c>
      <c r="P945" s="7">
        <v>12584.473040000001</v>
      </c>
      <c r="Q945" s="7">
        <v>52914.232600000003</v>
      </c>
      <c r="R945" s="9">
        <f>D945*VLOOKUP(1001,적!$A$4:$D$13,3,FALSE)</f>
        <v>1825089.9872195199</v>
      </c>
      <c r="S945" s="9">
        <f>D945*VLOOKUP(F945,보스!$A$4:$E$5,4,FALSE)</f>
        <v>65703239.539902717</v>
      </c>
    </row>
    <row r="946" spans="1:19" ht="21.95" customHeight="1">
      <c r="A946" s="6">
        <v>5943</v>
      </c>
      <c r="B946" s="2" t="s">
        <v>1094</v>
      </c>
      <c r="C946" s="6">
        <v>943</v>
      </c>
      <c r="D946" s="7">
        <v>915786.28276720003</v>
      </c>
      <c r="E946" s="2" t="s">
        <v>152</v>
      </c>
      <c r="F946" s="6">
        <v>2001</v>
      </c>
      <c r="G946" s="6">
        <v>5</v>
      </c>
      <c r="H946" s="7">
        <v>30</v>
      </c>
      <c r="I946" s="6">
        <v>5</v>
      </c>
      <c r="J946" s="6">
        <v>2</v>
      </c>
      <c r="K946" s="6">
        <v>1</v>
      </c>
      <c r="L946" s="6">
        <v>15</v>
      </c>
      <c r="M946" s="6">
        <v>379933</v>
      </c>
      <c r="N946" s="6">
        <v>7598660</v>
      </c>
      <c r="O946" s="6">
        <v>99</v>
      </c>
      <c r="P946" s="7">
        <v>12609.450919999999</v>
      </c>
      <c r="Q946" s="7">
        <v>53019.255299999997</v>
      </c>
      <c r="R946" s="9">
        <f>D946*VLOOKUP(1001,적!$A$4:$D$13,3,FALSE)</f>
        <v>1831572.5655344001</v>
      </c>
      <c r="S946" s="9">
        <f>D946*VLOOKUP(F946,보스!$A$4:$E$5,4,FALSE)</f>
        <v>65936612.359238401</v>
      </c>
    </row>
    <row r="947" spans="1:19" ht="21.95" customHeight="1">
      <c r="A947" s="6">
        <v>5944</v>
      </c>
      <c r="B947" s="2" t="s">
        <v>1095</v>
      </c>
      <c r="C947" s="6">
        <v>944</v>
      </c>
      <c r="D947" s="7">
        <v>919036.48319592001</v>
      </c>
      <c r="E947" s="2" t="s">
        <v>152</v>
      </c>
      <c r="F947" s="6">
        <v>2002</v>
      </c>
      <c r="G947" s="6">
        <v>5</v>
      </c>
      <c r="H947" s="7">
        <v>30</v>
      </c>
      <c r="I947" s="6">
        <v>5</v>
      </c>
      <c r="J947" s="6">
        <v>2</v>
      </c>
      <c r="K947" s="6">
        <v>1</v>
      </c>
      <c r="L947" s="6">
        <v>15</v>
      </c>
      <c r="M947" s="6">
        <v>380339</v>
      </c>
      <c r="N947" s="6">
        <v>7606780</v>
      </c>
      <c r="O947" s="6">
        <v>99</v>
      </c>
      <c r="P947" s="7">
        <v>12634.453439999999</v>
      </c>
      <c r="Q947" s="7">
        <v>53124.381600000001</v>
      </c>
      <c r="R947" s="9">
        <f>D947*VLOOKUP(1001,적!$A$4:$D$13,3,FALSE)</f>
        <v>1838072.96639184</v>
      </c>
      <c r="S947" s="9">
        <f>D947*VLOOKUP(F947,보스!$A$4:$E$5,4,FALSE)</f>
        <v>66170626.790106237</v>
      </c>
    </row>
    <row r="948" spans="1:19" ht="21.95" customHeight="1">
      <c r="A948" s="6">
        <v>5945</v>
      </c>
      <c r="B948" s="2" t="s">
        <v>1096</v>
      </c>
      <c r="C948" s="6">
        <v>945</v>
      </c>
      <c r="D948" s="7">
        <v>922295.61198080005</v>
      </c>
      <c r="E948" s="2" t="s">
        <v>152</v>
      </c>
      <c r="F948" s="6">
        <v>2001</v>
      </c>
      <c r="G948" s="6">
        <v>5</v>
      </c>
      <c r="H948" s="7">
        <v>30</v>
      </c>
      <c r="I948" s="6">
        <v>5</v>
      </c>
      <c r="J948" s="6">
        <v>2</v>
      </c>
      <c r="K948" s="6">
        <v>1</v>
      </c>
      <c r="L948" s="6">
        <v>15</v>
      </c>
      <c r="M948" s="6">
        <v>380745</v>
      </c>
      <c r="N948" s="6">
        <v>7614900</v>
      </c>
      <c r="O948" s="6">
        <v>99</v>
      </c>
      <c r="P948" s="7">
        <v>12659.480600000001</v>
      </c>
      <c r="Q948" s="7">
        <v>53229.611499999999</v>
      </c>
      <c r="R948" s="9">
        <f>D948*VLOOKUP(1001,적!$A$4:$D$13,3,FALSE)</f>
        <v>1844591.2239616001</v>
      </c>
      <c r="S948" s="9">
        <f>D948*VLOOKUP(F948,보스!$A$4:$E$5,4,FALSE)</f>
        <v>66405284.0626176</v>
      </c>
    </row>
    <row r="949" spans="1:19" ht="21.95" customHeight="1">
      <c r="A949" s="6">
        <v>5946</v>
      </c>
      <c r="B949" s="2" t="s">
        <v>1097</v>
      </c>
      <c r="C949" s="6">
        <v>946</v>
      </c>
      <c r="D949" s="7">
        <v>925563.68622399995</v>
      </c>
      <c r="E949" s="2" t="s">
        <v>152</v>
      </c>
      <c r="F949" s="6">
        <v>2002</v>
      </c>
      <c r="G949" s="6">
        <v>5</v>
      </c>
      <c r="H949" s="7">
        <v>30</v>
      </c>
      <c r="I949" s="6">
        <v>5</v>
      </c>
      <c r="J949" s="6">
        <v>2</v>
      </c>
      <c r="K949" s="6">
        <v>1</v>
      </c>
      <c r="L949" s="6">
        <v>15</v>
      </c>
      <c r="M949" s="6">
        <v>381151</v>
      </c>
      <c r="N949" s="6">
        <v>7623020</v>
      </c>
      <c r="O949" s="6">
        <v>99</v>
      </c>
      <c r="P949" s="7">
        <v>12684.5324</v>
      </c>
      <c r="Q949" s="7">
        <v>53334.945</v>
      </c>
      <c r="R949" s="9">
        <f>D949*VLOOKUP(1001,적!$A$4:$D$13,3,FALSE)</f>
        <v>1851127.3724479999</v>
      </c>
      <c r="S949" s="9">
        <f>D949*VLOOKUP(F949,보스!$A$4:$E$5,4,FALSE)</f>
        <v>66640585.408127993</v>
      </c>
    </row>
    <row r="950" spans="1:19" ht="21.95" customHeight="1">
      <c r="A950" s="6">
        <v>5947</v>
      </c>
      <c r="B950" s="2" t="s">
        <v>1098</v>
      </c>
      <c r="C950" s="6">
        <v>947</v>
      </c>
      <c r="D950" s="7">
        <v>928840.72304495994</v>
      </c>
      <c r="E950" s="2" t="s">
        <v>152</v>
      </c>
      <c r="F950" s="6">
        <v>2001</v>
      </c>
      <c r="G950" s="6">
        <v>5</v>
      </c>
      <c r="H950" s="7">
        <v>30</v>
      </c>
      <c r="I950" s="6">
        <v>5</v>
      </c>
      <c r="J950" s="6">
        <v>2</v>
      </c>
      <c r="K950" s="6">
        <v>1</v>
      </c>
      <c r="L950" s="6">
        <v>15</v>
      </c>
      <c r="M950" s="6">
        <v>381557</v>
      </c>
      <c r="N950" s="6">
        <v>7631140</v>
      </c>
      <c r="O950" s="6">
        <v>99</v>
      </c>
      <c r="P950" s="7">
        <v>12709.608840000001</v>
      </c>
      <c r="Q950" s="7">
        <v>53440.382100000003</v>
      </c>
      <c r="R950" s="9">
        <f>D950*VLOOKUP(1001,적!$A$4:$D$13,3,FALSE)</f>
        <v>1857681.4460899199</v>
      </c>
      <c r="S950" s="9">
        <f>D950*VLOOKUP(F950,보스!$A$4:$E$5,4,FALSE)</f>
        <v>66876532.059237115</v>
      </c>
    </row>
    <row r="951" spans="1:19" ht="21.95" customHeight="1">
      <c r="A951" s="6">
        <v>5948</v>
      </c>
      <c r="B951" s="2" t="s">
        <v>1099</v>
      </c>
      <c r="C951" s="6">
        <v>948</v>
      </c>
      <c r="D951" s="7">
        <v>932126.73958040006</v>
      </c>
      <c r="E951" s="2" t="s">
        <v>152</v>
      </c>
      <c r="F951" s="6">
        <v>2002</v>
      </c>
      <c r="G951" s="6">
        <v>5</v>
      </c>
      <c r="H951" s="7">
        <v>30</v>
      </c>
      <c r="I951" s="6">
        <v>5</v>
      </c>
      <c r="J951" s="6">
        <v>2</v>
      </c>
      <c r="K951" s="6">
        <v>1</v>
      </c>
      <c r="L951" s="6">
        <v>15</v>
      </c>
      <c r="M951" s="6">
        <v>381964</v>
      </c>
      <c r="N951" s="6">
        <v>7639280</v>
      </c>
      <c r="O951" s="6">
        <v>99</v>
      </c>
      <c r="P951" s="7">
        <v>12734.709919999999</v>
      </c>
      <c r="Q951" s="7">
        <v>53545.9228</v>
      </c>
      <c r="R951" s="9">
        <f>D951*VLOOKUP(1001,적!$A$4:$D$13,3,FALSE)</f>
        <v>1864253.4791608001</v>
      </c>
      <c r="S951" s="9">
        <f>D951*VLOOKUP(F951,보스!$A$4:$E$5,4,FALSE)</f>
        <v>67113125.249788806</v>
      </c>
    </row>
    <row r="952" spans="1:19" ht="21.95" customHeight="1">
      <c r="A952" s="6">
        <v>5949</v>
      </c>
      <c r="B952" s="2" t="s">
        <v>1100</v>
      </c>
      <c r="C952" s="6">
        <v>949</v>
      </c>
      <c r="D952" s="7">
        <v>935421.75298432005</v>
      </c>
      <c r="E952" s="2" t="s">
        <v>152</v>
      </c>
      <c r="F952" s="6">
        <v>2001</v>
      </c>
      <c r="G952" s="6">
        <v>5</v>
      </c>
      <c r="H952" s="7">
        <v>30</v>
      </c>
      <c r="I952" s="6">
        <v>5</v>
      </c>
      <c r="J952" s="6">
        <v>2</v>
      </c>
      <c r="K952" s="6">
        <v>1</v>
      </c>
      <c r="L952" s="6">
        <v>15</v>
      </c>
      <c r="M952" s="6">
        <v>382370</v>
      </c>
      <c r="N952" s="6">
        <v>7647400</v>
      </c>
      <c r="O952" s="6">
        <v>99</v>
      </c>
      <c r="P952" s="7">
        <v>12759.835639999999</v>
      </c>
      <c r="Q952" s="7">
        <v>53651.5671</v>
      </c>
      <c r="R952" s="9">
        <f>D952*VLOOKUP(1001,적!$A$4:$D$13,3,FALSE)</f>
        <v>1870843.5059686401</v>
      </c>
      <c r="S952" s="9">
        <f>D952*VLOOKUP(F952,보스!$A$4:$E$5,4,FALSE)</f>
        <v>67350366.214871049</v>
      </c>
    </row>
    <row r="953" spans="1:19" ht="21.95" customHeight="1">
      <c r="A953" s="6">
        <v>5950</v>
      </c>
      <c r="B953" s="2" t="s">
        <v>1101</v>
      </c>
      <c r="C953" s="6">
        <v>950</v>
      </c>
      <c r="D953" s="7">
        <v>938725.78042800003</v>
      </c>
      <c r="E953" s="2" t="s">
        <v>152</v>
      </c>
      <c r="F953" s="6">
        <v>2002</v>
      </c>
      <c r="G953" s="6">
        <v>5</v>
      </c>
      <c r="H953" s="7">
        <v>30</v>
      </c>
      <c r="I953" s="6">
        <v>5</v>
      </c>
      <c r="J953" s="6">
        <v>2</v>
      </c>
      <c r="K953" s="6">
        <v>1</v>
      </c>
      <c r="L953" s="6">
        <v>15</v>
      </c>
      <c r="M953" s="6">
        <v>382776</v>
      </c>
      <c r="N953" s="6">
        <v>7655520</v>
      </c>
      <c r="O953" s="6">
        <v>100</v>
      </c>
      <c r="P953" s="7">
        <v>12784.986000000001</v>
      </c>
      <c r="Q953" s="7">
        <v>53757.315000000002</v>
      </c>
      <c r="R953" s="9">
        <f>D953*VLOOKUP(1001,적!$A$4:$D$13,3,FALSE)</f>
        <v>1877451.5608560001</v>
      </c>
      <c r="S953" s="9">
        <f>D953*VLOOKUP(F953,보스!$A$4:$E$5,4,FALSE)</f>
        <v>67588256.190816</v>
      </c>
    </row>
    <row r="954" spans="1:19" ht="21.95" customHeight="1">
      <c r="A954" s="6">
        <v>5951</v>
      </c>
      <c r="B954" s="2" t="s">
        <v>1102</v>
      </c>
      <c r="C954" s="6">
        <v>951</v>
      </c>
      <c r="D954" s="7">
        <v>942038.83909999998</v>
      </c>
      <c r="E954" s="2" t="s">
        <v>152</v>
      </c>
      <c r="F954" s="6">
        <v>2001</v>
      </c>
      <c r="G954" s="6">
        <v>5</v>
      </c>
      <c r="H954" s="7">
        <v>30</v>
      </c>
      <c r="I954" s="6">
        <v>5</v>
      </c>
      <c r="J954" s="6">
        <v>2</v>
      </c>
      <c r="K954" s="6">
        <v>1</v>
      </c>
      <c r="L954" s="6">
        <v>15</v>
      </c>
      <c r="M954" s="6">
        <v>383182</v>
      </c>
      <c r="N954" s="6">
        <v>7663640</v>
      </c>
      <c r="O954" s="6">
        <v>100</v>
      </c>
      <c r="P954" s="7">
        <v>12810.161</v>
      </c>
      <c r="Q954" s="7">
        <v>53863.166499999999</v>
      </c>
      <c r="R954" s="9">
        <f>D954*VLOOKUP(1001,적!$A$4:$D$13,3,FALSE)</f>
        <v>1884077.6782</v>
      </c>
      <c r="S954" s="9">
        <f>D954*VLOOKUP(F954,보스!$A$4:$E$5,4,FALSE)</f>
        <v>67826796.415199995</v>
      </c>
    </row>
    <row r="955" spans="1:19" ht="21.95" customHeight="1">
      <c r="A955" s="6">
        <v>5952</v>
      </c>
      <c r="B955" s="2" t="s">
        <v>1103</v>
      </c>
      <c r="C955" s="6">
        <v>952</v>
      </c>
      <c r="D955" s="7">
        <v>945360.94620616001</v>
      </c>
      <c r="E955" s="2" t="s">
        <v>152</v>
      </c>
      <c r="F955" s="6">
        <v>2002</v>
      </c>
      <c r="G955" s="6">
        <v>5</v>
      </c>
      <c r="H955" s="7">
        <v>30</v>
      </c>
      <c r="I955" s="6">
        <v>5</v>
      </c>
      <c r="J955" s="6">
        <v>2</v>
      </c>
      <c r="K955" s="6">
        <v>1</v>
      </c>
      <c r="L955" s="6">
        <v>15</v>
      </c>
      <c r="M955" s="6">
        <v>383588</v>
      </c>
      <c r="N955" s="6">
        <v>7671760</v>
      </c>
      <c r="O955" s="6">
        <v>100</v>
      </c>
      <c r="P955" s="7">
        <v>12835.360640000001</v>
      </c>
      <c r="Q955" s="7">
        <v>53969.121599999999</v>
      </c>
      <c r="R955" s="9">
        <f>D955*VLOOKUP(1001,적!$A$4:$D$13,3,FALSE)</f>
        <v>1890721.89241232</v>
      </c>
      <c r="S955" s="9">
        <f>D955*VLOOKUP(F955,보스!$A$4:$E$5,4,FALSE)</f>
        <v>68065988.126843527</v>
      </c>
    </row>
    <row r="956" spans="1:19" ht="21.95" customHeight="1">
      <c r="A956" s="6">
        <v>5953</v>
      </c>
      <c r="B956" s="2" t="s">
        <v>1104</v>
      </c>
      <c r="C956" s="6">
        <v>953</v>
      </c>
      <c r="D956" s="7">
        <v>948692.11896959995</v>
      </c>
      <c r="E956" s="2" t="s">
        <v>152</v>
      </c>
      <c r="F956" s="6">
        <v>2001</v>
      </c>
      <c r="G956" s="6">
        <v>5</v>
      </c>
      <c r="H956" s="7">
        <v>30</v>
      </c>
      <c r="I956" s="6">
        <v>5</v>
      </c>
      <c r="J956" s="6">
        <v>2</v>
      </c>
      <c r="K956" s="6">
        <v>1</v>
      </c>
      <c r="L956" s="6">
        <v>15</v>
      </c>
      <c r="M956" s="6">
        <v>383994</v>
      </c>
      <c r="N956" s="6">
        <v>7679880</v>
      </c>
      <c r="O956" s="6">
        <v>100</v>
      </c>
      <c r="P956" s="7">
        <v>12860.584919999999</v>
      </c>
      <c r="Q956" s="7">
        <v>54075.1803</v>
      </c>
      <c r="R956" s="9">
        <f>D956*VLOOKUP(1001,적!$A$4:$D$13,3,FALSE)</f>
        <v>1897384.2379391999</v>
      </c>
      <c r="S956" s="9">
        <f>D956*VLOOKUP(F956,보스!$A$4:$E$5,4,FALSE)</f>
        <v>68305832.565811202</v>
      </c>
    </row>
    <row r="957" spans="1:19" ht="21.95" customHeight="1">
      <c r="A957" s="6">
        <v>5954</v>
      </c>
      <c r="B957" s="2" t="s">
        <v>1105</v>
      </c>
      <c r="C957" s="6">
        <v>954</v>
      </c>
      <c r="D957" s="7">
        <v>952032.37463072001</v>
      </c>
      <c r="E957" s="2" t="s">
        <v>152</v>
      </c>
      <c r="F957" s="6">
        <v>2002</v>
      </c>
      <c r="G957" s="6">
        <v>5</v>
      </c>
      <c r="H957" s="7">
        <v>30</v>
      </c>
      <c r="I957" s="6">
        <v>5</v>
      </c>
      <c r="J957" s="6">
        <v>2</v>
      </c>
      <c r="K957" s="6">
        <v>1</v>
      </c>
      <c r="L957" s="6">
        <v>15</v>
      </c>
      <c r="M957" s="6">
        <v>384400</v>
      </c>
      <c r="N957" s="6">
        <v>7688000</v>
      </c>
      <c r="O957" s="6">
        <v>100</v>
      </c>
      <c r="P957" s="7">
        <v>12885.833839999999</v>
      </c>
      <c r="Q957" s="7">
        <v>54181.342600000004</v>
      </c>
      <c r="R957" s="9">
        <f>D957*VLOOKUP(1001,적!$A$4:$D$13,3,FALSE)</f>
        <v>1904064.74926144</v>
      </c>
      <c r="S957" s="9">
        <f>D957*VLOOKUP(F957,보스!$A$4:$E$5,4,FALSE)</f>
        <v>68546330.973411843</v>
      </c>
    </row>
    <row r="958" spans="1:19" ht="21.95" customHeight="1">
      <c r="A958" s="6">
        <v>5955</v>
      </c>
      <c r="B958" s="2" t="s">
        <v>1106</v>
      </c>
      <c r="C958" s="6">
        <v>955</v>
      </c>
      <c r="D958" s="7">
        <v>955381.73044720001</v>
      </c>
      <c r="E958" s="2" t="s">
        <v>152</v>
      </c>
      <c r="F958" s="6">
        <v>2001</v>
      </c>
      <c r="G958" s="6">
        <v>5</v>
      </c>
      <c r="H958" s="7">
        <v>30</v>
      </c>
      <c r="I958" s="6">
        <v>5</v>
      </c>
      <c r="J958" s="6">
        <v>2</v>
      </c>
      <c r="K958" s="6">
        <v>1</v>
      </c>
      <c r="L958" s="6">
        <v>15</v>
      </c>
      <c r="M958" s="6">
        <v>384806</v>
      </c>
      <c r="N958" s="6">
        <v>7696120</v>
      </c>
      <c r="O958" s="6">
        <v>100</v>
      </c>
      <c r="P958" s="7">
        <v>12911.107400000001</v>
      </c>
      <c r="Q958" s="7">
        <v>54287.608500000002</v>
      </c>
      <c r="R958" s="9">
        <f>D958*VLOOKUP(1001,적!$A$4:$D$13,3,FALSE)</f>
        <v>1910763.4608944</v>
      </c>
      <c r="S958" s="9">
        <f>D958*VLOOKUP(F958,보스!$A$4:$E$5,4,FALSE)</f>
        <v>68787484.592198402</v>
      </c>
    </row>
    <row r="959" spans="1:19" ht="21.95" customHeight="1">
      <c r="A959" s="6">
        <v>5956</v>
      </c>
      <c r="B959" s="2" t="s">
        <v>1107</v>
      </c>
      <c r="C959" s="6">
        <v>956</v>
      </c>
      <c r="D959" s="7">
        <v>958740.20369400003</v>
      </c>
      <c r="E959" s="2" t="s">
        <v>152</v>
      </c>
      <c r="F959" s="6">
        <v>2002</v>
      </c>
      <c r="G959" s="6">
        <v>5</v>
      </c>
      <c r="H959" s="7">
        <v>30</v>
      </c>
      <c r="I959" s="6">
        <v>5</v>
      </c>
      <c r="J959" s="6">
        <v>2</v>
      </c>
      <c r="K959" s="6">
        <v>1</v>
      </c>
      <c r="L959" s="6">
        <v>15</v>
      </c>
      <c r="M959" s="6">
        <v>385212</v>
      </c>
      <c r="N959" s="6">
        <v>7704240</v>
      </c>
      <c r="O959" s="6">
        <v>100</v>
      </c>
      <c r="P959" s="7">
        <v>12936.4056</v>
      </c>
      <c r="Q959" s="7">
        <v>54393.978000000003</v>
      </c>
      <c r="R959" s="9">
        <f>D959*VLOOKUP(1001,적!$A$4:$D$13,3,FALSE)</f>
        <v>1917480.4073880001</v>
      </c>
      <c r="S959" s="9">
        <f>D959*VLOOKUP(F959,보스!$A$4:$E$5,4,FALSE)</f>
        <v>69029294.665968001</v>
      </c>
    </row>
    <row r="960" spans="1:19" ht="21.95" customHeight="1">
      <c r="A960" s="6">
        <v>5957</v>
      </c>
      <c r="B960" s="2" t="s">
        <v>1108</v>
      </c>
      <c r="C960" s="6">
        <v>957</v>
      </c>
      <c r="D960" s="7">
        <v>962107.81166335999</v>
      </c>
      <c r="E960" s="2" t="s">
        <v>152</v>
      </c>
      <c r="F960" s="6">
        <v>2001</v>
      </c>
      <c r="G960" s="6">
        <v>5</v>
      </c>
      <c r="H960" s="7">
        <v>30</v>
      </c>
      <c r="I960" s="6">
        <v>5</v>
      </c>
      <c r="J960" s="6">
        <v>2</v>
      </c>
      <c r="K960" s="6">
        <v>1</v>
      </c>
      <c r="L960" s="6">
        <v>15</v>
      </c>
      <c r="M960" s="6">
        <v>385618</v>
      </c>
      <c r="N960" s="6">
        <v>7712360</v>
      </c>
      <c r="O960" s="6">
        <v>100</v>
      </c>
      <c r="P960" s="7">
        <v>12961.728440000001</v>
      </c>
      <c r="Q960" s="7">
        <v>54500.451099999998</v>
      </c>
      <c r="R960" s="9">
        <f>D960*VLOOKUP(1001,적!$A$4:$D$13,3,FALSE)</f>
        <v>1924215.62332672</v>
      </c>
      <c r="S960" s="9">
        <f>D960*VLOOKUP(F960,보스!$A$4:$E$5,4,FALSE)</f>
        <v>69271762.439761922</v>
      </c>
    </row>
    <row r="961" spans="1:19" ht="21.95" customHeight="1">
      <c r="A961" s="6">
        <v>5958</v>
      </c>
      <c r="B961" s="2" t="s">
        <v>1109</v>
      </c>
      <c r="C961" s="6">
        <v>958</v>
      </c>
      <c r="D961" s="7">
        <v>965484.57166480005</v>
      </c>
      <c r="E961" s="2" t="s">
        <v>152</v>
      </c>
      <c r="F961" s="6">
        <v>2002</v>
      </c>
      <c r="G961" s="6">
        <v>5</v>
      </c>
      <c r="H961" s="7">
        <v>30</v>
      </c>
      <c r="I961" s="6">
        <v>5</v>
      </c>
      <c r="J961" s="6">
        <v>2</v>
      </c>
      <c r="K961" s="6">
        <v>1</v>
      </c>
      <c r="L961" s="6">
        <v>15</v>
      </c>
      <c r="M961" s="6">
        <v>386024</v>
      </c>
      <c r="N961" s="6">
        <v>7720480</v>
      </c>
      <c r="O961" s="6">
        <v>100</v>
      </c>
      <c r="P961" s="7">
        <v>12987.075919999999</v>
      </c>
      <c r="Q961" s="7">
        <v>54607.027800000003</v>
      </c>
      <c r="R961" s="9">
        <f>D961*VLOOKUP(1001,적!$A$4:$D$13,3,FALSE)</f>
        <v>1930969.1433296001</v>
      </c>
      <c r="S961" s="9">
        <f>D961*VLOOKUP(F961,보스!$A$4:$E$5,4,FALSE)</f>
        <v>69514889.159865603</v>
      </c>
    </row>
    <row r="962" spans="1:19" ht="21.95" customHeight="1">
      <c r="A962" s="6">
        <v>5959</v>
      </c>
      <c r="B962" s="2" t="s">
        <v>1110</v>
      </c>
      <c r="C962" s="6">
        <v>959</v>
      </c>
      <c r="D962" s="7">
        <v>968870.50102512003</v>
      </c>
      <c r="E962" s="2" t="s">
        <v>152</v>
      </c>
      <c r="F962" s="6">
        <v>2001</v>
      </c>
      <c r="G962" s="6">
        <v>5</v>
      </c>
      <c r="H962" s="7">
        <v>30</v>
      </c>
      <c r="I962" s="6">
        <v>5</v>
      </c>
      <c r="J962" s="6">
        <v>2</v>
      </c>
      <c r="K962" s="6">
        <v>1</v>
      </c>
      <c r="L962" s="6">
        <v>15</v>
      </c>
      <c r="M962" s="6">
        <v>386430</v>
      </c>
      <c r="N962" s="6">
        <v>7728600</v>
      </c>
      <c r="O962" s="6">
        <v>100</v>
      </c>
      <c r="P962" s="7">
        <v>13012.448039999999</v>
      </c>
      <c r="Q962" s="7">
        <v>54713.708100000003</v>
      </c>
      <c r="R962" s="9">
        <f>D962*VLOOKUP(1001,적!$A$4:$D$13,3,FALSE)</f>
        <v>1937741.0020502401</v>
      </c>
      <c r="S962" s="9">
        <f>D962*VLOOKUP(F962,보스!$A$4:$E$5,4,FALSE)</f>
        <v>69758676.07380864</v>
      </c>
    </row>
    <row r="963" spans="1:19" ht="21.95" customHeight="1">
      <c r="A963" s="6">
        <v>5960</v>
      </c>
      <c r="B963" s="2" t="s">
        <v>1111</v>
      </c>
      <c r="C963" s="6">
        <v>960</v>
      </c>
      <c r="D963" s="7">
        <v>972265.61708839994</v>
      </c>
      <c r="E963" s="2" t="s">
        <v>152</v>
      </c>
      <c r="F963" s="6">
        <v>2002</v>
      </c>
      <c r="G963" s="6">
        <v>5</v>
      </c>
      <c r="H963" s="7">
        <v>30</v>
      </c>
      <c r="I963" s="6">
        <v>5</v>
      </c>
      <c r="J963" s="6">
        <v>2</v>
      </c>
      <c r="K963" s="6">
        <v>1</v>
      </c>
      <c r="L963" s="6">
        <v>15</v>
      </c>
      <c r="M963" s="6">
        <v>386836</v>
      </c>
      <c r="N963" s="6">
        <v>7736720</v>
      </c>
      <c r="O963" s="6">
        <v>101</v>
      </c>
      <c r="P963" s="7">
        <v>13037.844800000001</v>
      </c>
      <c r="Q963" s="7">
        <v>54820.491999999998</v>
      </c>
      <c r="R963" s="9">
        <f>D963*VLOOKUP(1001,적!$A$4:$D$13,3,FALSE)</f>
        <v>1944531.2341767999</v>
      </c>
      <c r="S963" s="9">
        <f>D963*VLOOKUP(F963,보스!$A$4:$E$5,4,FALSE)</f>
        <v>70003124.430364802</v>
      </c>
    </row>
    <row r="964" spans="1:19" ht="21.95" customHeight="1">
      <c r="A964" s="6">
        <v>5961</v>
      </c>
      <c r="B964" s="2" t="s">
        <v>1112</v>
      </c>
      <c r="C964" s="6">
        <v>961</v>
      </c>
      <c r="D964" s="7">
        <v>975669.93721600005</v>
      </c>
      <c r="E964" s="2" t="s">
        <v>152</v>
      </c>
      <c r="F964" s="6">
        <v>2001</v>
      </c>
      <c r="G964" s="6">
        <v>5</v>
      </c>
      <c r="H964" s="7">
        <v>30</v>
      </c>
      <c r="I964" s="6">
        <v>5</v>
      </c>
      <c r="J964" s="6">
        <v>2</v>
      </c>
      <c r="K964" s="6">
        <v>1</v>
      </c>
      <c r="L964" s="6">
        <v>15</v>
      </c>
      <c r="M964" s="6">
        <v>387242</v>
      </c>
      <c r="N964" s="6">
        <v>7744840</v>
      </c>
      <c r="O964" s="6">
        <v>101</v>
      </c>
      <c r="P964" s="7">
        <v>13063.2662</v>
      </c>
      <c r="Q964" s="7">
        <v>54927.379500000003</v>
      </c>
      <c r="R964" s="9">
        <f>D964*VLOOKUP(1001,적!$A$4:$D$13,3,FALSE)</f>
        <v>1951339.8744320001</v>
      </c>
      <c r="S964" s="9">
        <f>D964*VLOOKUP(F964,보스!$A$4:$E$5,4,FALSE)</f>
        <v>70248235.479552001</v>
      </c>
    </row>
    <row r="965" spans="1:19" ht="21.95" customHeight="1">
      <c r="A965" s="6">
        <v>5962</v>
      </c>
      <c r="B965" s="2" t="s">
        <v>1113</v>
      </c>
      <c r="C965" s="6">
        <v>962</v>
      </c>
      <c r="D965" s="7">
        <v>979083.47878656001</v>
      </c>
      <c r="E965" s="2" t="s">
        <v>152</v>
      </c>
      <c r="F965" s="6">
        <v>2002</v>
      </c>
      <c r="G965" s="6">
        <v>5</v>
      </c>
      <c r="H965" s="7">
        <v>30</v>
      </c>
      <c r="I965" s="6">
        <v>5</v>
      </c>
      <c r="J965" s="6">
        <v>2</v>
      </c>
      <c r="K965" s="6">
        <v>1</v>
      </c>
      <c r="L965" s="6">
        <v>15</v>
      </c>
      <c r="M965" s="6">
        <v>387648</v>
      </c>
      <c r="N965" s="6">
        <v>7752960</v>
      </c>
      <c r="O965" s="6">
        <v>101</v>
      </c>
      <c r="P965" s="7">
        <v>13088.712240000001</v>
      </c>
      <c r="Q965" s="7">
        <v>55034.370600000002</v>
      </c>
      <c r="R965" s="9">
        <f>D965*VLOOKUP(1001,적!$A$4:$D$13,3,FALSE)</f>
        <v>1958166.95757312</v>
      </c>
      <c r="S965" s="9">
        <f>D965*VLOOKUP(F965,보스!$A$4:$E$5,4,FALSE)</f>
        <v>70494010.472632319</v>
      </c>
    </row>
    <row r="966" spans="1:19" ht="21.95" customHeight="1">
      <c r="A966" s="6">
        <v>5963</v>
      </c>
      <c r="B966" s="2" t="s">
        <v>1114</v>
      </c>
      <c r="C966" s="6">
        <v>963</v>
      </c>
      <c r="D966" s="7">
        <v>982506.25919600006</v>
      </c>
      <c r="E966" s="2" t="s">
        <v>152</v>
      </c>
      <c r="F966" s="6">
        <v>2001</v>
      </c>
      <c r="G966" s="6">
        <v>5</v>
      </c>
      <c r="H966" s="7">
        <v>30</v>
      </c>
      <c r="I966" s="6">
        <v>5</v>
      </c>
      <c r="J966" s="6">
        <v>2</v>
      </c>
      <c r="K966" s="6">
        <v>1</v>
      </c>
      <c r="L966" s="6">
        <v>15</v>
      </c>
      <c r="M966" s="6">
        <v>388054</v>
      </c>
      <c r="N966" s="6">
        <v>7761080</v>
      </c>
      <c r="O966" s="6">
        <v>101</v>
      </c>
      <c r="P966" s="7">
        <v>13114.182919999999</v>
      </c>
      <c r="Q966" s="7">
        <v>55141.465300000003</v>
      </c>
      <c r="R966" s="9">
        <f>D966*VLOOKUP(1001,적!$A$4:$D$13,3,FALSE)</f>
        <v>1965012.5183920001</v>
      </c>
      <c r="S966" s="9">
        <f>D966*VLOOKUP(F966,보스!$A$4:$E$5,4,FALSE)</f>
        <v>70740450.662111998</v>
      </c>
    </row>
    <row r="967" spans="1:19" ht="21.95" customHeight="1">
      <c r="A967" s="6">
        <v>5964</v>
      </c>
      <c r="B967" s="2" t="s">
        <v>1115</v>
      </c>
      <c r="C967" s="6">
        <v>964</v>
      </c>
      <c r="D967" s="7">
        <v>985938.29585751996</v>
      </c>
      <c r="E967" s="2" t="s">
        <v>152</v>
      </c>
      <c r="F967" s="6">
        <v>2002</v>
      </c>
      <c r="G967" s="6">
        <v>5</v>
      </c>
      <c r="H967" s="7">
        <v>30</v>
      </c>
      <c r="I967" s="6">
        <v>5</v>
      </c>
      <c r="J967" s="6">
        <v>2</v>
      </c>
      <c r="K967" s="6">
        <v>1</v>
      </c>
      <c r="L967" s="6">
        <v>15</v>
      </c>
      <c r="M967" s="6">
        <v>388460</v>
      </c>
      <c r="N967" s="6">
        <v>7769200</v>
      </c>
      <c r="O967" s="6">
        <v>101</v>
      </c>
      <c r="P967" s="7">
        <v>13139.678239999999</v>
      </c>
      <c r="Q967" s="7">
        <v>55248.6636</v>
      </c>
      <c r="R967" s="9">
        <f>D967*VLOOKUP(1001,적!$A$4:$D$13,3,FALSE)</f>
        <v>1971876.5917150399</v>
      </c>
      <c r="S967" s="9">
        <f>D967*VLOOKUP(F967,보스!$A$4:$E$5,4,FALSE)</f>
        <v>70987557.301741436</v>
      </c>
    </row>
    <row r="968" spans="1:19" ht="21.95" customHeight="1">
      <c r="A968" s="6">
        <v>5965</v>
      </c>
      <c r="B968" s="2" t="s">
        <v>1116</v>
      </c>
      <c r="C968" s="6">
        <v>965</v>
      </c>
      <c r="D968" s="7">
        <v>989379.60620160005</v>
      </c>
      <c r="E968" s="2" t="s">
        <v>152</v>
      </c>
      <c r="F968" s="6">
        <v>2001</v>
      </c>
      <c r="G968" s="6">
        <v>5</v>
      </c>
      <c r="H968" s="7">
        <v>30</v>
      </c>
      <c r="I968" s="6">
        <v>5</v>
      </c>
      <c r="J968" s="6">
        <v>2</v>
      </c>
      <c r="K968" s="6">
        <v>1</v>
      </c>
      <c r="L968" s="6">
        <v>15</v>
      </c>
      <c r="M968" s="6">
        <v>388866</v>
      </c>
      <c r="N968" s="6">
        <v>7777320</v>
      </c>
      <c r="O968" s="6">
        <v>101</v>
      </c>
      <c r="P968" s="7">
        <v>13165.198200000001</v>
      </c>
      <c r="Q968" s="7">
        <v>55355.965499999998</v>
      </c>
      <c r="R968" s="9">
        <f>D968*VLOOKUP(1001,적!$A$4:$D$13,3,FALSE)</f>
        <v>1978759.2124032001</v>
      </c>
      <c r="S968" s="9">
        <f>D968*VLOOKUP(F968,보스!$A$4:$E$5,4,FALSE)</f>
        <v>71235331.646515206</v>
      </c>
    </row>
    <row r="969" spans="1:19" ht="21.95" customHeight="1">
      <c r="A969" s="6">
        <v>5966</v>
      </c>
      <c r="B969" s="2" t="s">
        <v>1117</v>
      </c>
      <c r="C969" s="6">
        <v>966</v>
      </c>
      <c r="D969" s="7">
        <v>992830.20767599996</v>
      </c>
      <c r="E969" s="2" t="s">
        <v>152</v>
      </c>
      <c r="F969" s="6">
        <v>2002</v>
      </c>
      <c r="G969" s="6">
        <v>5</v>
      </c>
      <c r="H969" s="7">
        <v>30</v>
      </c>
      <c r="I969" s="6">
        <v>5</v>
      </c>
      <c r="J969" s="6">
        <v>2</v>
      </c>
      <c r="K969" s="6">
        <v>1</v>
      </c>
      <c r="L969" s="6">
        <v>15</v>
      </c>
      <c r="M969" s="6">
        <v>389272</v>
      </c>
      <c r="N969" s="6">
        <v>7785440</v>
      </c>
      <c r="O969" s="6">
        <v>101</v>
      </c>
      <c r="P969" s="7">
        <v>13190.7428</v>
      </c>
      <c r="Q969" s="7">
        <v>55463.370999999999</v>
      </c>
      <c r="R969" s="9">
        <f>D969*VLOOKUP(1001,적!$A$4:$D$13,3,FALSE)</f>
        <v>1985660.4153519999</v>
      </c>
      <c r="S969" s="9">
        <f>D969*VLOOKUP(F969,보스!$A$4:$E$5,4,FALSE)</f>
        <v>71483774.952672005</v>
      </c>
    </row>
    <row r="970" spans="1:19" ht="21.95" customHeight="1">
      <c r="A970" s="6">
        <v>5967</v>
      </c>
      <c r="B970" s="2" t="s">
        <v>1118</v>
      </c>
      <c r="C970" s="6">
        <v>967</v>
      </c>
      <c r="D970" s="7">
        <v>996290.11774576001</v>
      </c>
      <c r="E970" s="2" t="s">
        <v>152</v>
      </c>
      <c r="F970" s="6">
        <v>2001</v>
      </c>
      <c r="G970" s="6">
        <v>5</v>
      </c>
      <c r="H970" s="7">
        <v>30</v>
      </c>
      <c r="I970" s="6">
        <v>5</v>
      </c>
      <c r="J970" s="6">
        <v>2</v>
      </c>
      <c r="K970" s="6">
        <v>1</v>
      </c>
      <c r="L970" s="6">
        <v>15</v>
      </c>
      <c r="M970" s="6">
        <v>389678</v>
      </c>
      <c r="N970" s="6">
        <v>7793560</v>
      </c>
      <c r="O970" s="6">
        <v>101</v>
      </c>
      <c r="P970" s="7">
        <v>13216.312040000001</v>
      </c>
      <c r="Q970" s="7">
        <v>55570.880100000002</v>
      </c>
      <c r="R970" s="9">
        <f>D970*VLOOKUP(1001,적!$A$4:$D$13,3,FALSE)</f>
        <v>1992580.23549152</v>
      </c>
      <c r="S970" s="9">
        <f>D970*VLOOKUP(F970,보스!$A$4:$E$5,4,FALSE)</f>
        <v>71732888.47769472</v>
      </c>
    </row>
    <row r="971" spans="1:19" ht="21.95" customHeight="1">
      <c r="A971" s="6">
        <v>5968</v>
      </c>
      <c r="B971" s="2" t="s">
        <v>1119</v>
      </c>
      <c r="C971" s="6">
        <v>968</v>
      </c>
      <c r="D971" s="7">
        <v>999759.35389320005</v>
      </c>
      <c r="E971" s="2" t="s">
        <v>152</v>
      </c>
      <c r="F971" s="6">
        <v>2002</v>
      </c>
      <c r="G971" s="6">
        <v>5</v>
      </c>
      <c r="H971" s="7">
        <v>30</v>
      </c>
      <c r="I971" s="6">
        <v>5</v>
      </c>
      <c r="J971" s="6">
        <v>2</v>
      </c>
      <c r="K971" s="6">
        <v>1</v>
      </c>
      <c r="L971" s="6">
        <v>15</v>
      </c>
      <c r="M971" s="6">
        <v>390084</v>
      </c>
      <c r="N971" s="6">
        <v>7801680</v>
      </c>
      <c r="O971" s="6">
        <v>101</v>
      </c>
      <c r="P971" s="7">
        <v>13241.905919999999</v>
      </c>
      <c r="Q971" s="7">
        <v>55678.4928</v>
      </c>
      <c r="R971" s="9">
        <f>D971*VLOOKUP(1001,적!$A$4:$D$13,3,FALSE)</f>
        <v>1999518.7077864001</v>
      </c>
      <c r="S971" s="9">
        <f>D971*VLOOKUP(F971,보스!$A$4:$E$5,4,FALSE)</f>
        <v>71982673.48031041</v>
      </c>
    </row>
    <row r="972" spans="1:19" ht="21.95" customHeight="1">
      <c r="A972" s="6">
        <v>5969</v>
      </c>
      <c r="B972" s="2" t="s">
        <v>1120</v>
      </c>
      <c r="C972" s="6">
        <v>969</v>
      </c>
      <c r="D972" s="7">
        <v>1003237.93361792</v>
      </c>
      <c r="E972" s="2" t="s">
        <v>152</v>
      </c>
      <c r="F972" s="6">
        <v>2001</v>
      </c>
      <c r="G972" s="6">
        <v>5</v>
      </c>
      <c r="H972" s="7">
        <v>30</v>
      </c>
      <c r="I972" s="6">
        <v>5</v>
      </c>
      <c r="J972" s="6">
        <v>2</v>
      </c>
      <c r="K972" s="6">
        <v>1</v>
      </c>
      <c r="L972" s="6">
        <v>15</v>
      </c>
      <c r="M972" s="6">
        <v>390491</v>
      </c>
      <c r="N972" s="6">
        <v>7809820</v>
      </c>
      <c r="O972" s="6">
        <v>101</v>
      </c>
      <c r="P972" s="7">
        <v>13267.524439999999</v>
      </c>
      <c r="Q972" s="7">
        <v>55786.2091</v>
      </c>
      <c r="R972" s="9">
        <f>D972*VLOOKUP(1001,적!$A$4:$D$13,3,FALSE)</f>
        <v>2006475.8672358401</v>
      </c>
      <c r="S972" s="9">
        <f>D972*VLOOKUP(F972,보스!$A$4:$E$5,4,FALSE)</f>
        <v>72233131.220490247</v>
      </c>
    </row>
    <row r="973" spans="1:19" ht="21.95" customHeight="1">
      <c r="A973" s="6">
        <v>5970</v>
      </c>
      <c r="B973" s="2" t="s">
        <v>1121</v>
      </c>
      <c r="C973" s="6">
        <v>970</v>
      </c>
      <c r="D973" s="7">
        <v>1006725.8744368</v>
      </c>
      <c r="E973" s="2" t="s">
        <v>152</v>
      </c>
      <c r="F973" s="6">
        <v>2002</v>
      </c>
      <c r="G973" s="6">
        <v>5</v>
      </c>
      <c r="H973" s="7">
        <v>30</v>
      </c>
      <c r="I973" s="6">
        <v>5</v>
      </c>
      <c r="J973" s="6">
        <v>2</v>
      </c>
      <c r="K973" s="6">
        <v>1</v>
      </c>
      <c r="L973" s="6">
        <v>15</v>
      </c>
      <c r="M973" s="6">
        <v>390897</v>
      </c>
      <c r="N973" s="6">
        <v>7817940</v>
      </c>
      <c r="O973" s="6">
        <v>102</v>
      </c>
      <c r="P973" s="7">
        <v>13293.167600000001</v>
      </c>
      <c r="Q973" s="7">
        <v>55894.029000000002</v>
      </c>
      <c r="R973" s="9">
        <f>D973*VLOOKUP(1001,적!$A$4:$D$13,3,FALSE)</f>
        <v>2013451.7488736</v>
      </c>
      <c r="S973" s="9">
        <f>D973*VLOOKUP(F973,보스!$A$4:$E$5,4,FALSE)</f>
        <v>72484262.959449604</v>
      </c>
    </row>
    <row r="974" spans="1:19" ht="21.95" customHeight="1">
      <c r="A974" s="6">
        <v>5971</v>
      </c>
      <c r="B974" s="2" t="s">
        <v>1122</v>
      </c>
      <c r="C974" s="6">
        <v>971</v>
      </c>
      <c r="D974" s="7">
        <v>1010223.1938839999</v>
      </c>
      <c r="E974" s="2" t="s">
        <v>152</v>
      </c>
      <c r="F974" s="6">
        <v>2001</v>
      </c>
      <c r="G974" s="6">
        <v>5</v>
      </c>
      <c r="H974" s="7">
        <v>30</v>
      </c>
      <c r="I974" s="6">
        <v>5</v>
      </c>
      <c r="J974" s="6">
        <v>2</v>
      </c>
      <c r="K974" s="6">
        <v>1</v>
      </c>
      <c r="L974" s="6">
        <v>15</v>
      </c>
      <c r="M974" s="6">
        <v>391303</v>
      </c>
      <c r="N974" s="6">
        <v>7826060</v>
      </c>
      <c r="O974" s="6">
        <v>102</v>
      </c>
      <c r="P974" s="7">
        <v>13318.8354</v>
      </c>
      <c r="Q974" s="7">
        <v>56001.952499999999</v>
      </c>
      <c r="R974" s="9">
        <f>D974*VLOOKUP(1001,적!$A$4:$D$13,3,FALSE)</f>
        <v>2020446.3877679999</v>
      </c>
      <c r="S974" s="9">
        <f>D974*VLOOKUP(F974,보스!$A$4:$E$5,4,FALSE)</f>
        <v>72736069.959647998</v>
      </c>
    </row>
    <row r="975" spans="1:19" ht="21.95" customHeight="1">
      <c r="A975" s="6">
        <v>5972</v>
      </c>
      <c r="B975" s="2" t="s">
        <v>1123</v>
      </c>
      <c r="C975" s="6">
        <v>972</v>
      </c>
      <c r="D975" s="7">
        <v>1013729.90951096</v>
      </c>
      <c r="E975" s="2" t="s">
        <v>152</v>
      </c>
      <c r="F975" s="6">
        <v>2002</v>
      </c>
      <c r="G975" s="6">
        <v>5</v>
      </c>
      <c r="H975" s="7">
        <v>30</v>
      </c>
      <c r="I975" s="6">
        <v>5</v>
      </c>
      <c r="J975" s="6">
        <v>2</v>
      </c>
      <c r="K975" s="6">
        <v>1</v>
      </c>
      <c r="L975" s="6">
        <v>15</v>
      </c>
      <c r="M975" s="6">
        <v>391709</v>
      </c>
      <c r="N975" s="6">
        <v>7834180</v>
      </c>
      <c r="O975" s="6">
        <v>102</v>
      </c>
      <c r="P975" s="7">
        <v>13344.527840000001</v>
      </c>
      <c r="Q975" s="7">
        <v>56109.979599999999</v>
      </c>
      <c r="R975" s="9">
        <f>D975*VLOOKUP(1001,적!$A$4:$D$13,3,FALSE)</f>
        <v>2027459.81902192</v>
      </c>
      <c r="S975" s="9">
        <f>D975*VLOOKUP(F975,보스!$A$4:$E$5,4,FALSE)</f>
        <v>72988553.484789118</v>
      </c>
    </row>
    <row r="976" spans="1:19" ht="21.95" customHeight="1">
      <c r="A976" s="6">
        <v>5973</v>
      </c>
      <c r="B976" s="2" t="s">
        <v>1124</v>
      </c>
      <c r="C976" s="6">
        <v>973</v>
      </c>
      <c r="D976" s="7">
        <v>1017246.0388864001</v>
      </c>
      <c r="E976" s="2" t="s">
        <v>152</v>
      </c>
      <c r="F976" s="6">
        <v>2001</v>
      </c>
      <c r="G976" s="6">
        <v>5</v>
      </c>
      <c r="H976" s="7">
        <v>30</v>
      </c>
      <c r="I976" s="6">
        <v>5</v>
      </c>
      <c r="J976" s="6">
        <v>2</v>
      </c>
      <c r="K976" s="6">
        <v>1</v>
      </c>
      <c r="L976" s="6">
        <v>15</v>
      </c>
      <c r="M976" s="6">
        <v>392115</v>
      </c>
      <c r="N976" s="6">
        <v>7842300</v>
      </c>
      <c r="O976" s="6">
        <v>102</v>
      </c>
      <c r="P976" s="7">
        <v>13370.244919999999</v>
      </c>
      <c r="Q976" s="7">
        <v>56218.1103</v>
      </c>
      <c r="R976" s="9">
        <f>D976*VLOOKUP(1001,적!$A$4:$D$13,3,FALSE)</f>
        <v>2034492.0777728001</v>
      </c>
      <c r="S976" s="9">
        <f>D976*VLOOKUP(F976,보스!$A$4:$E$5,4,FALSE)</f>
        <v>73241714.799820811</v>
      </c>
    </row>
    <row r="977" spans="1:19" ht="21.95" customHeight="1">
      <c r="A977" s="6">
        <v>5974</v>
      </c>
      <c r="B977" s="2" t="s">
        <v>1125</v>
      </c>
      <c r="C977" s="6">
        <v>974</v>
      </c>
      <c r="D977" s="7">
        <v>1020771.59959632</v>
      </c>
      <c r="E977" s="2" t="s">
        <v>152</v>
      </c>
      <c r="F977" s="6">
        <v>2002</v>
      </c>
      <c r="G977" s="6">
        <v>5</v>
      </c>
      <c r="H977" s="7">
        <v>30</v>
      </c>
      <c r="I977" s="6">
        <v>5</v>
      </c>
      <c r="J977" s="6">
        <v>2</v>
      </c>
      <c r="K977" s="6">
        <v>1</v>
      </c>
      <c r="L977" s="6">
        <v>15</v>
      </c>
      <c r="M977" s="6">
        <v>392521</v>
      </c>
      <c r="N977" s="6">
        <v>7850420</v>
      </c>
      <c r="O977" s="6">
        <v>102</v>
      </c>
      <c r="P977" s="7">
        <v>13395.986639999999</v>
      </c>
      <c r="Q977" s="7">
        <v>56326.344599999997</v>
      </c>
      <c r="R977" s="9">
        <f>D977*VLOOKUP(1001,적!$A$4:$D$13,3,FALSE)</f>
        <v>2041543.1991926399</v>
      </c>
      <c r="S977" s="9">
        <f>D977*VLOOKUP(F977,보스!$A$4:$E$5,4,FALSE)</f>
        <v>73495555.170935035</v>
      </c>
    </row>
    <row r="978" spans="1:19" ht="21.95" customHeight="1">
      <c r="A978" s="6">
        <v>5975</v>
      </c>
      <c r="B978" s="2" t="s">
        <v>1126</v>
      </c>
      <c r="C978" s="6">
        <v>975</v>
      </c>
      <c r="D978" s="7">
        <v>1024306.6092440001</v>
      </c>
      <c r="E978" s="2" t="s">
        <v>152</v>
      </c>
      <c r="F978" s="6">
        <v>2001</v>
      </c>
      <c r="G978" s="6">
        <v>5</v>
      </c>
      <c r="H978" s="7">
        <v>30</v>
      </c>
      <c r="I978" s="6">
        <v>5</v>
      </c>
      <c r="J978" s="6">
        <v>2</v>
      </c>
      <c r="K978" s="6">
        <v>1</v>
      </c>
      <c r="L978" s="6">
        <v>15</v>
      </c>
      <c r="M978" s="6">
        <v>392927</v>
      </c>
      <c r="N978" s="6">
        <v>7858540</v>
      </c>
      <c r="O978" s="6">
        <v>102</v>
      </c>
      <c r="P978" s="7">
        <v>13421.753000000001</v>
      </c>
      <c r="Q978" s="7">
        <v>56434.682500000003</v>
      </c>
      <c r="R978" s="9">
        <f>D978*VLOOKUP(1001,적!$A$4:$D$13,3,FALSE)</f>
        <v>2048613.2184880001</v>
      </c>
      <c r="S978" s="9">
        <f>D978*VLOOKUP(F978,보스!$A$4:$E$5,4,FALSE)</f>
        <v>73750075.865567997</v>
      </c>
    </row>
    <row r="979" spans="1:19" ht="21.95" customHeight="1">
      <c r="A979" s="6">
        <v>5976</v>
      </c>
      <c r="B979" s="2" t="s">
        <v>1127</v>
      </c>
      <c r="C979" s="6">
        <v>976</v>
      </c>
      <c r="D979" s="7">
        <v>1027851.08545</v>
      </c>
      <c r="E979" s="2" t="s">
        <v>152</v>
      </c>
      <c r="F979" s="6">
        <v>2002</v>
      </c>
      <c r="G979" s="6">
        <v>5</v>
      </c>
      <c r="H979" s="7">
        <v>30</v>
      </c>
      <c r="I979" s="6">
        <v>5</v>
      </c>
      <c r="J979" s="6">
        <v>2</v>
      </c>
      <c r="K979" s="6">
        <v>1</v>
      </c>
      <c r="L979" s="6">
        <v>15</v>
      </c>
      <c r="M979" s="6">
        <v>393333</v>
      </c>
      <c r="N979" s="6">
        <v>7866660</v>
      </c>
      <c r="O979" s="6">
        <v>102</v>
      </c>
      <c r="P979" s="7">
        <v>13447.544</v>
      </c>
      <c r="Q979" s="7">
        <v>56543.124000000003</v>
      </c>
      <c r="R979" s="9">
        <f>D979*VLOOKUP(1001,적!$A$4:$D$13,3,FALSE)</f>
        <v>2055702.1709</v>
      </c>
      <c r="S979" s="9">
        <f>D979*VLOOKUP(F979,보스!$A$4:$E$5,4,FALSE)</f>
        <v>74005278.152400002</v>
      </c>
    </row>
    <row r="980" spans="1:19" ht="21.95" customHeight="1">
      <c r="A980" s="6">
        <v>5977</v>
      </c>
      <c r="B980" s="2" t="s">
        <v>1128</v>
      </c>
      <c r="C980" s="6">
        <v>977</v>
      </c>
      <c r="D980" s="7">
        <v>1031405.04585216</v>
      </c>
      <c r="E980" s="2" t="s">
        <v>152</v>
      </c>
      <c r="F980" s="6">
        <v>2001</v>
      </c>
      <c r="G980" s="6">
        <v>5</v>
      </c>
      <c r="H980" s="7">
        <v>30</v>
      </c>
      <c r="I980" s="6">
        <v>5</v>
      </c>
      <c r="J980" s="6">
        <v>2</v>
      </c>
      <c r="K980" s="6">
        <v>1</v>
      </c>
      <c r="L980" s="6">
        <v>15</v>
      </c>
      <c r="M980" s="6">
        <v>393739</v>
      </c>
      <c r="N980" s="6">
        <v>7874780</v>
      </c>
      <c r="O980" s="6">
        <v>102</v>
      </c>
      <c r="P980" s="7">
        <v>13473.359640000001</v>
      </c>
      <c r="Q980" s="7">
        <v>56651.669099999999</v>
      </c>
      <c r="R980" s="9">
        <f>D980*VLOOKUP(1001,적!$A$4:$D$13,3,FALSE)</f>
        <v>2062810.0917043199</v>
      </c>
      <c r="S980" s="9">
        <f>D980*VLOOKUP(F980,보스!$A$4:$E$5,4,FALSE)</f>
        <v>74261163.301355511</v>
      </c>
    </row>
    <row r="981" spans="1:19" ht="21.95" customHeight="1">
      <c r="A981" s="6">
        <v>5978</v>
      </c>
      <c r="B981" s="2" t="s">
        <v>1129</v>
      </c>
      <c r="C981" s="6">
        <v>978</v>
      </c>
      <c r="D981" s="7">
        <v>1034968.5081056</v>
      </c>
      <c r="E981" s="2" t="s">
        <v>152</v>
      </c>
      <c r="F981" s="6">
        <v>2002</v>
      </c>
      <c r="G981" s="6">
        <v>5</v>
      </c>
      <c r="H981" s="7">
        <v>30</v>
      </c>
      <c r="I981" s="6">
        <v>5</v>
      </c>
      <c r="J981" s="6">
        <v>2</v>
      </c>
      <c r="K981" s="6">
        <v>1</v>
      </c>
      <c r="L981" s="6">
        <v>15</v>
      </c>
      <c r="M981" s="6">
        <v>394145</v>
      </c>
      <c r="N981" s="6">
        <v>7882900</v>
      </c>
      <c r="O981" s="6">
        <v>102</v>
      </c>
      <c r="P981" s="7">
        <v>13499.199919999999</v>
      </c>
      <c r="Q981" s="7">
        <v>56760.317799999997</v>
      </c>
      <c r="R981" s="9">
        <f>D981*VLOOKUP(1001,적!$A$4:$D$13,3,FALSE)</f>
        <v>2069937.0162112</v>
      </c>
      <c r="S981" s="9">
        <f>D981*VLOOKUP(F981,보스!$A$4:$E$5,4,FALSE)</f>
        <v>74517732.583603203</v>
      </c>
    </row>
    <row r="982" spans="1:19" ht="21.95" customHeight="1">
      <c r="A982" s="6">
        <v>5979</v>
      </c>
      <c r="B982" s="2" t="s">
        <v>1130</v>
      </c>
      <c r="C982" s="6">
        <v>979</v>
      </c>
      <c r="D982" s="7">
        <v>1038541.4898827201</v>
      </c>
      <c r="E982" s="2" t="s">
        <v>152</v>
      </c>
      <c r="F982" s="6">
        <v>2001</v>
      </c>
      <c r="G982" s="6">
        <v>5</v>
      </c>
      <c r="H982" s="7">
        <v>30</v>
      </c>
      <c r="I982" s="6">
        <v>5</v>
      </c>
      <c r="J982" s="6">
        <v>2</v>
      </c>
      <c r="K982" s="6">
        <v>1</v>
      </c>
      <c r="L982" s="6">
        <v>15</v>
      </c>
      <c r="M982" s="6">
        <v>394551</v>
      </c>
      <c r="N982" s="6">
        <v>7891020</v>
      </c>
      <c r="O982" s="6">
        <v>102</v>
      </c>
      <c r="P982" s="7">
        <v>13525.064839999999</v>
      </c>
      <c r="Q982" s="7">
        <v>56869.070099999997</v>
      </c>
      <c r="R982" s="9">
        <f>D982*VLOOKUP(1001,적!$A$4:$D$13,3,FALSE)</f>
        <v>2077082.9797654401</v>
      </c>
      <c r="S982" s="9">
        <f>D982*VLOOKUP(F982,보스!$A$4:$E$5,4,FALSE)</f>
        <v>74774987.271555841</v>
      </c>
    </row>
    <row r="983" spans="1:19" ht="21.95" customHeight="1">
      <c r="A983" s="6">
        <v>5980</v>
      </c>
      <c r="B983" s="2" t="s">
        <v>1131</v>
      </c>
      <c r="C983" s="6">
        <v>980</v>
      </c>
      <c r="D983" s="7">
        <v>1042124.0088732</v>
      </c>
      <c r="E983" s="2" t="s">
        <v>152</v>
      </c>
      <c r="F983" s="6">
        <v>2002</v>
      </c>
      <c r="G983" s="6">
        <v>5</v>
      </c>
      <c r="H983" s="7">
        <v>30</v>
      </c>
      <c r="I983" s="6">
        <v>5</v>
      </c>
      <c r="J983" s="6">
        <v>2</v>
      </c>
      <c r="K983" s="6">
        <v>1</v>
      </c>
      <c r="L983" s="6">
        <v>15</v>
      </c>
      <c r="M983" s="6">
        <v>394957</v>
      </c>
      <c r="N983" s="6">
        <v>7899140</v>
      </c>
      <c r="O983" s="6">
        <v>103</v>
      </c>
      <c r="P983" s="7">
        <v>13550.954400000001</v>
      </c>
      <c r="Q983" s="7">
        <v>56977.925999999999</v>
      </c>
      <c r="R983" s="9">
        <f>D983*VLOOKUP(1001,적!$A$4:$D$13,3,FALSE)</f>
        <v>2084248.0177464001</v>
      </c>
      <c r="S983" s="9">
        <f>D983*VLOOKUP(F983,보스!$A$4:$E$5,4,FALSE)</f>
        <v>75032928.638870403</v>
      </c>
    </row>
    <row r="984" spans="1:19" ht="21.95" customHeight="1">
      <c r="A984" s="6">
        <v>5981</v>
      </c>
      <c r="B984" s="2" t="s">
        <v>1132</v>
      </c>
      <c r="C984" s="6">
        <v>981</v>
      </c>
      <c r="D984" s="7">
        <v>1045716.082784</v>
      </c>
      <c r="E984" s="2" t="s">
        <v>152</v>
      </c>
      <c r="F984" s="6">
        <v>2001</v>
      </c>
      <c r="G984" s="6">
        <v>5</v>
      </c>
      <c r="H984" s="7">
        <v>30</v>
      </c>
      <c r="I984" s="6">
        <v>5</v>
      </c>
      <c r="J984" s="6">
        <v>2</v>
      </c>
      <c r="K984" s="6">
        <v>1</v>
      </c>
      <c r="L984" s="6">
        <v>15</v>
      </c>
      <c r="M984" s="6">
        <v>395363</v>
      </c>
      <c r="N984" s="6">
        <v>7907260</v>
      </c>
      <c r="O984" s="6">
        <v>103</v>
      </c>
      <c r="P984" s="7">
        <v>13576.8686</v>
      </c>
      <c r="Q984" s="7">
        <v>57086.885499999997</v>
      </c>
      <c r="R984" s="9">
        <f>D984*VLOOKUP(1001,적!$A$4:$D$13,3,FALSE)</f>
        <v>2091432.1655679999</v>
      </c>
      <c r="S984" s="9">
        <f>D984*VLOOKUP(F984,보스!$A$4:$E$5,4,FALSE)</f>
        <v>75291557.960447997</v>
      </c>
    </row>
    <row r="985" spans="1:19" ht="21.95" customHeight="1">
      <c r="A985" s="6">
        <v>5982</v>
      </c>
      <c r="B985" s="2" t="s">
        <v>1133</v>
      </c>
      <c r="C985" s="6">
        <v>982</v>
      </c>
      <c r="D985" s="7">
        <v>1049317.72933936</v>
      </c>
      <c r="E985" s="2" t="s">
        <v>152</v>
      </c>
      <c r="F985" s="6">
        <v>2002</v>
      </c>
      <c r="G985" s="6">
        <v>5</v>
      </c>
      <c r="H985" s="7">
        <v>30</v>
      </c>
      <c r="I985" s="6">
        <v>5</v>
      </c>
      <c r="J985" s="6">
        <v>2</v>
      </c>
      <c r="K985" s="6">
        <v>1</v>
      </c>
      <c r="L985" s="6">
        <v>15</v>
      </c>
      <c r="M985" s="6">
        <v>395769</v>
      </c>
      <c r="N985" s="6">
        <v>7915380</v>
      </c>
      <c r="O985" s="6">
        <v>103</v>
      </c>
      <c r="P985" s="7">
        <v>13602.80744</v>
      </c>
      <c r="Q985" s="7">
        <v>57195.948600000003</v>
      </c>
      <c r="R985" s="9">
        <f>D985*VLOOKUP(1001,적!$A$4:$D$13,3,FALSE)</f>
        <v>2098635.4586787201</v>
      </c>
      <c r="S985" s="9">
        <f>D985*VLOOKUP(F985,보스!$A$4:$E$5,4,FALSE)</f>
        <v>75550876.512433916</v>
      </c>
    </row>
    <row r="986" spans="1:19" ht="21.95" customHeight="1">
      <c r="A986" s="6">
        <v>5983</v>
      </c>
      <c r="B986" s="2" t="s">
        <v>1134</v>
      </c>
      <c r="C986" s="6">
        <v>983</v>
      </c>
      <c r="D986" s="7">
        <v>1052928.9662808001</v>
      </c>
      <c r="E986" s="2" t="s">
        <v>152</v>
      </c>
      <c r="F986" s="6">
        <v>2001</v>
      </c>
      <c r="G986" s="6">
        <v>5</v>
      </c>
      <c r="H986" s="7">
        <v>30</v>
      </c>
      <c r="I986" s="6">
        <v>5</v>
      </c>
      <c r="J986" s="6">
        <v>2</v>
      </c>
      <c r="K986" s="6">
        <v>1</v>
      </c>
      <c r="L986" s="6">
        <v>15</v>
      </c>
      <c r="M986" s="6">
        <v>396175</v>
      </c>
      <c r="N986" s="6">
        <v>7923500</v>
      </c>
      <c r="O986" s="6">
        <v>103</v>
      </c>
      <c r="P986" s="7">
        <v>13628.770920000001</v>
      </c>
      <c r="Q986" s="7">
        <v>57305.115299999998</v>
      </c>
      <c r="R986" s="9">
        <f>D986*VLOOKUP(1001,적!$A$4:$D$13,3,FALSE)</f>
        <v>2105857.9325616001</v>
      </c>
      <c r="S986" s="9">
        <f>D986*VLOOKUP(F986,보스!$A$4:$E$5,4,FALSE)</f>
        <v>75810885.572217599</v>
      </c>
    </row>
    <row r="987" spans="1:19" ht="21.95" customHeight="1">
      <c r="A987" s="6">
        <v>5984</v>
      </c>
      <c r="B987" s="2" t="s">
        <v>1135</v>
      </c>
      <c r="C987" s="6">
        <v>984</v>
      </c>
      <c r="D987" s="7">
        <v>1056549.8113671199</v>
      </c>
      <c r="E987" s="2" t="s">
        <v>152</v>
      </c>
      <c r="F987" s="6">
        <v>2002</v>
      </c>
      <c r="G987" s="6">
        <v>5</v>
      </c>
      <c r="H987" s="7">
        <v>30</v>
      </c>
      <c r="I987" s="6">
        <v>5</v>
      </c>
      <c r="J987" s="6">
        <v>2</v>
      </c>
      <c r="K987" s="6">
        <v>1</v>
      </c>
      <c r="L987" s="6">
        <v>15</v>
      </c>
      <c r="M987" s="6">
        <v>396581</v>
      </c>
      <c r="N987" s="6">
        <v>7931620</v>
      </c>
      <c r="O987" s="6">
        <v>103</v>
      </c>
      <c r="P987" s="7">
        <v>13654.759040000001</v>
      </c>
      <c r="Q987" s="7">
        <v>57414.385600000001</v>
      </c>
      <c r="R987" s="9">
        <f>D987*VLOOKUP(1001,적!$A$4:$D$13,3,FALSE)</f>
        <v>2113099.6227342398</v>
      </c>
      <c r="S987" s="9">
        <f>D987*VLOOKUP(F987,보스!$A$4:$E$5,4,FALSE)</f>
        <v>76071586.418432638</v>
      </c>
    </row>
    <row r="988" spans="1:19" ht="21.95" customHeight="1">
      <c r="A988" s="6">
        <v>5985</v>
      </c>
      <c r="B988" s="2" t="s">
        <v>1136</v>
      </c>
      <c r="C988" s="6">
        <v>985</v>
      </c>
      <c r="D988" s="7">
        <v>1060180.2823743999</v>
      </c>
      <c r="E988" s="2" t="s">
        <v>152</v>
      </c>
      <c r="F988" s="6">
        <v>2001</v>
      </c>
      <c r="G988" s="6">
        <v>5</v>
      </c>
      <c r="H988" s="7">
        <v>30</v>
      </c>
      <c r="I988" s="6">
        <v>5</v>
      </c>
      <c r="J988" s="6">
        <v>2</v>
      </c>
      <c r="K988" s="6">
        <v>1</v>
      </c>
      <c r="L988" s="6">
        <v>15</v>
      </c>
      <c r="M988" s="6">
        <v>396987</v>
      </c>
      <c r="N988" s="6">
        <v>7939740</v>
      </c>
      <c r="O988" s="6">
        <v>103</v>
      </c>
      <c r="P988" s="7">
        <v>13680.7718</v>
      </c>
      <c r="Q988" s="7">
        <v>57523.7595</v>
      </c>
      <c r="R988" s="9">
        <f>D988*VLOOKUP(1001,적!$A$4:$D$13,3,FALSE)</f>
        <v>2120360.5647487999</v>
      </c>
      <c r="S988" s="9">
        <f>D988*VLOOKUP(F988,보스!$A$4:$E$5,4,FALSE)</f>
        <v>76332980.330956802</v>
      </c>
    </row>
    <row r="989" spans="1:19" ht="21.95" customHeight="1">
      <c r="A989" s="6">
        <v>5986</v>
      </c>
      <c r="B989" s="2" t="s">
        <v>1137</v>
      </c>
      <c r="C989" s="6">
        <v>986</v>
      </c>
      <c r="D989" s="7">
        <v>1063820.3970959999</v>
      </c>
      <c r="E989" s="2" t="s">
        <v>152</v>
      </c>
      <c r="F989" s="6">
        <v>2002</v>
      </c>
      <c r="G989" s="6">
        <v>5</v>
      </c>
      <c r="H989" s="7">
        <v>30</v>
      </c>
      <c r="I989" s="6">
        <v>5</v>
      </c>
      <c r="J989" s="6">
        <v>2</v>
      </c>
      <c r="K989" s="6">
        <v>1</v>
      </c>
      <c r="L989" s="6">
        <v>15</v>
      </c>
      <c r="M989" s="6">
        <v>397393</v>
      </c>
      <c r="N989" s="6">
        <v>7947860</v>
      </c>
      <c r="O989" s="6">
        <v>103</v>
      </c>
      <c r="P989" s="7">
        <v>13706.8092</v>
      </c>
      <c r="Q989" s="7">
        <v>57633.237000000001</v>
      </c>
      <c r="R989" s="9">
        <f>D989*VLOOKUP(1001,적!$A$4:$D$13,3,FALSE)</f>
        <v>2127640.7941919998</v>
      </c>
      <c r="S989" s="9">
        <f>D989*VLOOKUP(F989,보스!$A$4:$E$5,4,FALSE)</f>
        <v>76595068.590911999</v>
      </c>
    </row>
    <row r="990" spans="1:19" ht="21.95" customHeight="1">
      <c r="A990" s="6">
        <v>5987</v>
      </c>
      <c r="B990" s="2" t="s">
        <v>1138</v>
      </c>
      <c r="C990" s="6">
        <v>987</v>
      </c>
      <c r="D990" s="7">
        <v>1067470.17334256</v>
      </c>
      <c r="E990" s="2" t="s">
        <v>152</v>
      </c>
      <c r="F990" s="6">
        <v>2001</v>
      </c>
      <c r="G990" s="6">
        <v>5</v>
      </c>
      <c r="H990" s="7">
        <v>30</v>
      </c>
      <c r="I990" s="6">
        <v>5</v>
      </c>
      <c r="J990" s="6">
        <v>2</v>
      </c>
      <c r="K990" s="6">
        <v>1</v>
      </c>
      <c r="L990" s="6">
        <v>15</v>
      </c>
      <c r="M990" s="6">
        <v>397799</v>
      </c>
      <c r="N990" s="6">
        <v>7955980</v>
      </c>
      <c r="O990" s="6">
        <v>103</v>
      </c>
      <c r="P990" s="7">
        <v>13732.87124</v>
      </c>
      <c r="Q990" s="7">
        <v>57742.818099999997</v>
      </c>
      <c r="R990" s="9">
        <f>D990*VLOOKUP(1001,적!$A$4:$D$13,3,FALSE)</f>
        <v>2134940.3466851199</v>
      </c>
      <c r="S990" s="9">
        <f>D990*VLOOKUP(F990,보스!$A$4:$E$5,4,FALSE)</f>
        <v>76857852.480664313</v>
      </c>
    </row>
    <row r="991" spans="1:19" ht="21.95" customHeight="1">
      <c r="A991" s="6">
        <v>5988</v>
      </c>
      <c r="B991" s="2" t="s">
        <v>1139</v>
      </c>
      <c r="C991" s="6">
        <v>988</v>
      </c>
      <c r="D991" s="7">
        <v>1071129.628942</v>
      </c>
      <c r="E991" s="2" t="s">
        <v>152</v>
      </c>
      <c r="F991" s="6">
        <v>2002</v>
      </c>
      <c r="G991" s="6">
        <v>5</v>
      </c>
      <c r="H991" s="7">
        <v>30</v>
      </c>
      <c r="I991" s="6">
        <v>5</v>
      </c>
      <c r="J991" s="6">
        <v>2</v>
      </c>
      <c r="K991" s="6">
        <v>1</v>
      </c>
      <c r="L991" s="6">
        <v>15</v>
      </c>
      <c r="M991" s="6">
        <v>398206</v>
      </c>
      <c r="N991" s="6">
        <v>7964120</v>
      </c>
      <c r="O991" s="6">
        <v>103</v>
      </c>
      <c r="P991" s="7">
        <v>13758.957920000001</v>
      </c>
      <c r="Q991" s="7">
        <v>57852.502800000002</v>
      </c>
      <c r="R991" s="9">
        <f>D991*VLOOKUP(1001,적!$A$4:$D$13,3,FALSE)</f>
        <v>2142259.257884</v>
      </c>
      <c r="S991" s="9">
        <f>D991*VLOOKUP(F991,보스!$A$4:$E$5,4,FALSE)</f>
        <v>77121333.283823997</v>
      </c>
    </row>
    <row r="992" spans="1:19" ht="21.95" customHeight="1">
      <c r="A992" s="6">
        <v>5989</v>
      </c>
      <c r="B992" s="2" t="s">
        <v>1140</v>
      </c>
      <c r="C992" s="6">
        <v>989</v>
      </c>
      <c r="D992" s="7">
        <v>1074798.7817395199</v>
      </c>
      <c r="E992" s="2" t="s">
        <v>152</v>
      </c>
      <c r="F992" s="6">
        <v>2001</v>
      </c>
      <c r="G992" s="6">
        <v>5</v>
      </c>
      <c r="H992" s="7">
        <v>30</v>
      </c>
      <c r="I992" s="6">
        <v>5</v>
      </c>
      <c r="J992" s="6">
        <v>2</v>
      </c>
      <c r="K992" s="6">
        <v>1</v>
      </c>
      <c r="L992" s="6">
        <v>15</v>
      </c>
      <c r="M992" s="6">
        <v>398612</v>
      </c>
      <c r="N992" s="6">
        <v>7972240</v>
      </c>
      <c r="O992" s="6">
        <v>103</v>
      </c>
      <c r="P992" s="7">
        <v>13785.069240000001</v>
      </c>
      <c r="Q992" s="7">
        <v>57962.291100000002</v>
      </c>
      <c r="R992" s="9">
        <f>D992*VLOOKUP(1001,적!$A$4:$D$13,3,FALSE)</f>
        <v>2149597.5634790398</v>
      </c>
      <c r="S992" s="9">
        <f>D992*VLOOKUP(F992,보스!$A$4:$E$5,4,FALSE)</f>
        <v>77385512.285245433</v>
      </c>
    </row>
    <row r="993" spans="1:19" ht="21.95" customHeight="1">
      <c r="A993" s="6">
        <v>5990</v>
      </c>
      <c r="B993" s="2" t="s">
        <v>1141</v>
      </c>
      <c r="C993" s="6">
        <v>990</v>
      </c>
      <c r="D993" s="7">
        <v>1078477.6495976001</v>
      </c>
      <c r="E993" s="2" t="s">
        <v>152</v>
      </c>
      <c r="F993" s="6">
        <v>2002</v>
      </c>
      <c r="G993" s="6">
        <v>5</v>
      </c>
      <c r="H993" s="7">
        <v>30</v>
      </c>
      <c r="I993" s="6">
        <v>5</v>
      </c>
      <c r="J993" s="6">
        <v>2</v>
      </c>
      <c r="K993" s="6">
        <v>1</v>
      </c>
      <c r="L993" s="6">
        <v>15</v>
      </c>
      <c r="M993" s="6">
        <v>399018</v>
      </c>
      <c r="N993" s="6">
        <v>7980360</v>
      </c>
      <c r="O993" s="6">
        <v>104</v>
      </c>
      <c r="P993" s="7">
        <v>13811.2052</v>
      </c>
      <c r="Q993" s="7">
        <v>58072.182999999997</v>
      </c>
      <c r="R993" s="9">
        <f>D993*VLOOKUP(1001,적!$A$4:$D$13,3,FALSE)</f>
        <v>2156955.2991952002</v>
      </c>
      <c r="S993" s="9">
        <f>D993*VLOOKUP(F993,보스!$A$4:$E$5,4,FALSE)</f>
        <v>77650390.771027207</v>
      </c>
    </row>
    <row r="994" spans="1:19" ht="21.95" customHeight="1">
      <c r="A994" s="6">
        <v>5991</v>
      </c>
      <c r="B994" s="2" t="s">
        <v>1142</v>
      </c>
      <c r="C994" s="6">
        <v>991</v>
      </c>
      <c r="D994" s="7">
        <v>1082166.250396</v>
      </c>
      <c r="E994" s="2" t="s">
        <v>152</v>
      </c>
      <c r="F994" s="6">
        <v>2001</v>
      </c>
      <c r="G994" s="6">
        <v>5</v>
      </c>
      <c r="H994" s="7">
        <v>30</v>
      </c>
      <c r="I994" s="6">
        <v>5</v>
      </c>
      <c r="J994" s="6">
        <v>2</v>
      </c>
      <c r="K994" s="6">
        <v>1</v>
      </c>
      <c r="L994" s="6">
        <v>15</v>
      </c>
      <c r="M994" s="6">
        <v>399424</v>
      </c>
      <c r="N994" s="6">
        <v>7988480</v>
      </c>
      <c r="O994" s="6">
        <v>104</v>
      </c>
      <c r="P994" s="7">
        <v>13837.3658</v>
      </c>
      <c r="Q994" s="7">
        <v>58182.178500000002</v>
      </c>
      <c r="R994" s="9">
        <f>D994*VLOOKUP(1001,적!$A$4:$D$13,3,FALSE)</f>
        <v>2164332.500792</v>
      </c>
      <c r="S994" s="9">
        <f>D994*VLOOKUP(F994,보스!$A$4:$E$5,4,FALSE)</f>
        <v>77915970.028512001</v>
      </c>
    </row>
    <row r="995" spans="1:19" ht="21.95" customHeight="1">
      <c r="A995" s="6">
        <v>5992</v>
      </c>
      <c r="B995" s="2" t="s">
        <v>1143</v>
      </c>
      <c r="C995" s="6">
        <v>992</v>
      </c>
      <c r="D995" s="7">
        <v>1085864.6020317599</v>
      </c>
      <c r="E995" s="2" t="s">
        <v>152</v>
      </c>
      <c r="F995" s="6">
        <v>2002</v>
      </c>
      <c r="G995" s="6">
        <v>5</v>
      </c>
      <c r="H995" s="7">
        <v>30</v>
      </c>
      <c r="I995" s="6">
        <v>5</v>
      </c>
      <c r="J995" s="6">
        <v>2</v>
      </c>
      <c r="K995" s="6">
        <v>1</v>
      </c>
      <c r="L995" s="6">
        <v>15</v>
      </c>
      <c r="M995" s="6">
        <v>399830</v>
      </c>
      <c r="N995" s="6">
        <v>7996600</v>
      </c>
      <c r="O995" s="6">
        <v>104</v>
      </c>
      <c r="P995" s="7">
        <v>13863.55104</v>
      </c>
      <c r="Q995" s="7">
        <v>58292.277600000001</v>
      </c>
      <c r="R995" s="9">
        <f>D995*VLOOKUP(1001,적!$A$4:$D$13,3,FALSE)</f>
        <v>2171729.2040635198</v>
      </c>
      <c r="S995" s="9">
        <f>D995*VLOOKUP(F995,보스!$A$4:$E$5,4,FALSE)</f>
        <v>78182251.346286714</v>
      </c>
    </row>
    <row r="996" spans="1:19" ht="21.95" customHeight="1">
      <c r="A996" s="6">
        <v>5993</v>
      </c>
      <c r="B996" s="2" t="s">
        <v>1144</v>
      </c>
      <c r="C996" s="6">
        <v>993</v>
      </c>
      <c r="D996" s="7">
        <v>1089572.7224192</v>
      </c>
      <c r="E996" s="2" t="s">
        <v>152</v>
      </c>
      <c r="F996" s="6">
        <v>2001</v>
      </c>
      <c r="G996" s="6">
        <v>5</v>
      </c>
      <c r="H996" s="7">
        <v>30</v>
      </c>
      <c r="I996" s="6">
        <v>5</v>
      </c>
      <c r="J996" s="6">
        <v>2</v>
      </c>
      <c r="K996" s="6">
        <v>1</v>
      </c>
      <c r="L996" s="6">
        <v>15</v>
      </c>
      <c r="M996" s="6">
        <v>400236</v>
      </c>
      <c r="N996" s="6">
        <v>8004720</v>
      </c>
      <c r="O996" s="6">
        <v>104</v>
      </c>
      <c r="P996" s="7">
        <v>13889.760920000001</v>
      </c>
      <c r="Q996" s="7">
        <v>58402.480300000003</v>
      </c>
      <c r="R996" s="9">
        <f>D996*VLOOKUP(1001,적!$A$4:$D$13,3,FALSE)</f>
        <v>2179145.4448384</v>
      </c>
      <c r="S996" s="9">
        <f>D996*VLOOKUP(F996,보스!$A$4:$E$5,4,FALSE)</f>
        <v>78449236.014182404</v>
      </c>
    </row>
    <row r="997" spans="1:19" ht="21.95" customHeight="1">
      <c r="A997" s="6">
        <v>5994</v>
      </c>
      <c r="B997" s="2" t="s">
        <v>1145</v>
      </c>
      <c r="C997" s="6">
        <v>994</v>
      </c>
      <c r="D997" s="7">
        <v>1093290.6294899201</v>
      </c>
      <c r="E997" s="2" t="s">
        <v>152</v>
      </c>
      <c r="F997" s="6">
        <v>2002</v>
      </c>
      <c r="G997" s="6">
        <v>5</v>
      </c>
      <c r="H997" s="7">
        <v>30</v>
      </c>
      <c r="I997" s="6">
        <v>5</v>
      </c>
      <c r="J997" s="6">
        <v>2</v>
      </c>
      <c r="K997" s="6">
        <v>1</v>
      </c>
      <c r="L997" s="6">
        <v>15</v>
      </c>
      <c r="M997" s="6">
        <v>400642</v>
      </c>
      <c r="N997" s="6">
        <v>8012840</v>
      </c>
      <c r="O997" s="6">
        <v>104</v>
      </c>
      <c r="P997" s="7">
        <v>13915.995440000001</v>
      </c>
      <c r="Q997" s="7">
        <v>58512.786599999999</v>
      </c>
      <c r="R997" s="9">
        <f>D997*VLOOKUP(1001,적!$A$4:$D$13,3,FALSE)</f>
        <v>2186581.2589798402</v>
      </c>
      <c r="S997" s="9">
        <f>D997*VLOOKUP(F997,보스!$A$4:$E$5,4,FALSE)</f>
        <v>78716925.323274255</v>
      </c>
    </row>
    <row r="998" spans="1:19" ht="21.95" customHeight="1">
      <c r="A998" s="6">
        <v>5995</v>
      </c>
      <c r="B998" s="2" t="s">
        <v>1146</v>
      </c>
      <c r="C998" s="6">
        <v>995</v>
      </c>
      <c r="D998" s="7">
        <v>1097018.3411928001</v>
      </c>
      <c r="E998" s="2" t="s">
        <v>152</v>
      </c>
      <c r="F998" s="6">
        <v>2001</v>
      </c>
      <c r="G998" s="6">
        <v>5</v>
      </c>
      <c r="H998" s="7">
        <v>30</v>
      </c>
      <c r="I998" s="6">
        <v>5</v>
      </c>
      <c r="J998" s="6">
        <v>2</v>
      </c>
      <c r="K998" s="6">
        <v>1</v>
      </c>
      <c r="L998" s="6">
        <v>15</v>
      </c>
      <c r="M998" s="6">
        <v>401048</v>
      </c>
      <c r="N998" s="6">
        <v>8020960</v>
      </c>
      <c r="O998" s="6">
        <v>104</v>
      </c>
      <c r="P998" s="7">
        <v>13942.2546</v>
      </c>
      <c r="Q998" s="7">
        <v>58623.196499999998</v>
      </c>
      <c r="R998" s="9">
        <f>D998*VLOOKUP(1001,적!$A$4:$D$13,3,FALSE)</f>
        <v>2194036.6823856002</v>
      </c>
      <c r="S998" s="9">
        <f>D998*VLOOKUP(F998,보스!$A$4:$E$5,4,FALSE)</f>
        <v>78985320.56588161</v>
      </c>
    </row>
    <row r="999" spans="1:19" ht="21.95" customHeight="1">
      <c r="A999" s="6">
        <v>5996</v>
      </c>
      <c r="B999" s="2" t="s">
        <v>1147</v>
      </c>
      <c r="C999" s="6">
        <v>996</v>
      </c>
      <c r="D999" s="7">
        <v>1100755.875494</v>
      </c>
      <c r="E999" s="2" t="s">
        <v>152</v>
      </c>
      <c r="F999" s="6">
        <v>2002</v>
      </c>
      <c r="G999" s="6">
        <v>5</v>
      </c>
      <c r="H999" s="7">
        <v>30</v>
      </c>
      <c r="I999" s="6">
        <v>5</v>
      </c>
      <c r="J999" s="6">
        <v>2</v>
      </c>
      <c r="K999" s="6">
        <v>1</v>
      </c>
      <c r="L999" s="6">
        <v>15</v>
      </c>
      <c r="M999" s="6">
        <v>401454</v>
      </c>
      <c r="N999" s="6">
        <v>8029080</v>
      </c>
      <c r="O999" s="6">
        <v>104</v>
      </c>
      <c r="P999" s="7">
        <v>13968.538399999999</v>
      </c>
      <c r="Q999" s="7">
        <v>58733.71</v>
      </c>
      <c r="R999" s="9">
        <f>D999*VLOOKUP(1001,적!$A$4:$D$13,3,FALSE)</f>
        <v>2201511.7509880001</v>
      </c>
      <c r="S999" s="9">
        <f>D999*VLOOKUP(F999,보스!$A$4:$E$5,4,FALSE)</f>
        <v>79254423.035567999</v>
      </c>
    </row>
    <row r="1000" spans="1:19" ht="21.95" customHeight="1">
      <c r="A1000" s="6">
        <v>5997</v>
      </c>
      <c r="B1000" s="2" t="s">
        <v>1148</v>
      </c>
      <c r="C1000" s="6">
        <v>997</v>
      </c>
      <c r="D1000" s="7">
        <v>1104503.25037696</v>
      </c>
      <c r="E1000" s="2" t="s">
        <v>152</v>
      </c>
      <c r="F1000" s="6">
        <v>2001</v>
      </c>
      <c r="G1000" s="6">
        <v>5</v>
      </c>
      <c r="H1000" s="7">
        <v>30</v>
      </c>
      <c r="I1000" s="6">
        <v>5</v>
      </c>
      <c r="J1000" s="6">
        <v>2</v>
      </c>
      <c r="K1000" s="6">
        <v>1</v>
      </c>
      <c r="L1000" s="6">
        <v>15</v>
      </c>
      <c r="M1000" s="6">
        <v>401860</v>
      </c>
      <c r="N1000" s="6">
        <v>8037200</v>
      </c>
      <c r="O1000" s="6">
        <v>104</v>
      </c>
      <c r="P1000" s="7">
        <v>13994.84684</v>
      </c>
      <c r="Q1000" s="7">
        <v>58844.327100000002</v>
      </c>
      <c r="R1000" s="9">
        <f>D1000*VLOOKUP(1001,적!$A$4:$D$13,3,FALSE)</f>
        <v>2209006.5007539201</v>
      </c>
      <c r="S1000" s="9">
        <f>D1000*VLOOKUP(F1000,보스!$A$4:$E$5,4,FALSE)</f>
        <v>79524234.027141124</v>
      </c>
    </row>
    <row r="1001" spans="1:19" ht="21.95" customHeight="1">
      <c r="A1001" s="6">
        <v>5998</v>
      </c>
      <c r="B1001" s="2" t="s">
        <v>1149</v>
      </c>
      <c r="C1001" s="6">
        <v>998</v>
      </c>
      <c r="D1001" s="7">
        <v>1108260.4838423999</v>
      </c>
      <c r="E1001" s="2" t="s">
        <v>152</v>
      </c>
      <c r="F1001" s="6">
        <v>2002</v>
      </c>
      <c r="G1001" s="6">
        <v>5</v>
      </c>
      <c r="H1001" s="7">
        <v>30</v>
      </c>
      <c r="I1001" s="6">
        <v>5</v>
      </c>
      <c r="J1001" s="6">
        <v>2</v>
      </c>
      <c r="K1001" s="6">
        <v>1</v>
      </c>
      <c r="L1001" s="6">
        <v>15</v>
      </c>
      <c r="M1001" s="6">
        <v>402266</v>
      </c>
      <c r="N1001" s="6">
        <v>8045320</v>
      </c>
      <c r="O1001" s="6">
        <v>104</v>
      </c>
      <c r="P1001" s="7">
        <v>14021.17992</v>
      </c>
      <c r="Q1001" s="7">
        <v>58955.0478</v>
      </c>
      <c r="R1001" s="9">
        <f>D1001*VLOOKUP(1001,적!$A$4:$D$13,3,FALSE)</f>
        <v>2216520.9676847998</v>
      </c>
      <c r="S1001" s="9">
        <f>D1001*VLOOKUP(F1001,보스!$A$4:$E$5,4,FALSE)</f>
        <v>79794754.836652786</v>
      </c>
    </row>
    <row r="1002" spans="1:19" ht="21.95" customHeight="1">
      <c r="A1002" s="6">
        <v>5999</v>
      </c>
      <c r="B1002" s="2" t="s">
        <v>1150</v>
      </c>
      <c r="C1002" s="6">
        <v>999</v>
      </c>
      <c r="D1002" s="7">
        <v>1112027.5939083199</v>
      </c>
      <c r="E1002" s="2" t="s">
        <v>152</v>
      </c>
      <c r="F1002" s="6">
        <v>2001</v>
      </c>
      <c r="G1002" s="6">
        <v>5</v>
      </c>
      <c r="H1002" s="7">
        <v>30</v>
      </c>
      <c r="I1002" s="6">
        <v>5</v>
      </c>
      <c r="J1002" s="6">
        <v>2</v>
      </c>
      <c r="K1002" s="6">
        <v>1</v>
      </c>
      <c r="L1002" s="6">
        <v>15</v>
      </c>
      <c r="M1002" s="6">
        <v>402672</v>
      </c>
      <c r="N1002" s="6">
        <v>8053440</v>
      </c>
      <c r="O1002" s="6">
        <v>104</v>
      </c>
      <c r="P1002" s="7">
        <v>14047.53764</v>
      </c>
      <c r="Q1002" s="7">
        <v>59065.872100000001</v>
      </c>
      <c r="R1002" s="9">
        <f>D1002*VLOOKUP(1001,적!$A$4:$D$13,3,FALSE)</f>
        <v>2224055.1878166399</v>
      </c>
      <c r="S1002" s="9">
        <f>D1002*VLOOKUP(F1002,보스!$A$4:$E$5,4,FALSE)</f>
        <v>80065986.761399031</v>
      </c>
    </row>
    <row r="1003" spans="1:19" ht="21.95" customHeight="1">
      <c r="A1003" s="6">
        <v>6000</v>
      </c>
      <c r="B1003" s="2" t="s">
        <v>1151</v>
      </c>
      <c r="C1003" s="6">
        <v>1000</v>
      </c>
      <c r="D1003" s="7">
        <v>1115804.59861</v>
      </c>
      <c r="E1003" s="2" t="s">
        <v>152</v>
      </c>
      <c r="F1003" s="6">
        <v>2002</v>
      </c>
      <c r="G1003" s="6">
        <v>5</v>
      </c>
      <c r="H1003" s="7">
        <v>30</v>
      </c>
      <c r="I1003" s="6">
        <v>5</v>
      </c>
      <c r="J1003" s="6">
        <v>2</v>
      </c>
      <c r="K1003" s="6">
        <v>1</v>
      </c>
      <c r="L1003" s="6">
        <v>15</v>
      </c>
      <c r="M1003" s="6">
        <v>403078</v>
      </c>
      <c r="N1003" s="6">
        <v>8061560</v>
      </c>
      <c r="O1003" s="6">
        <v>105</v>
      </c>
      <c r="P1003" s="7">
        <v>14073.92</v>
      </c>
      <c r="Q1003" s="7">
        <v>59176.800000000003</v>
      </c>
      <c r="R1003" s="9">
        <f>D1003*VLOOKUP(1001,적!$A$4:$D$13,3,FALSE)</f>
        <v>2231609.19722</v>
      </c>
      <c r="S1003" s="9">
        <f>D1003*VLOOKUP(F1003,보스!$A$4:$E$5,4,FALSE)</f>
        <v>80337931.099920005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6684D"/>
  </sheetPr>
  <dimension ref="A1:D30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4.25"/>
  <cols>
    <col min="1" max="1" width="16" customWidth="1"/>
    <col min="2" max="2" width="28" customWidth="1"/>
    <col min="3" max="3" width="18" customWidth="1"/>
    <col min="4" max="4" width="78" customWidth="1"/>
  </cols>
  <sheetData>
    <row r="1" spans="1:4" ht="29.1" customHeight="1">
      <c r="A1" s="3" t="s">
        <v>0</v>
      </c>
      <c r="B1" s="3" t="s">
        <v>1</v>
      </c>
      <c r="C1" s="3" t="s">
        <v>1152</v>
      </c>
      <c r="D1" s="3" t="s">
        <v>1153</v>
      </c>
    </row>
    <row r="2" spans="1:4" ht="21.95" customHeight="1">
      <c r="A2" s="4" t="s">
        <v>4</v>
      </c>
      <c r="B2" s="4" t="s">
        <v>5</v>
      </c>
      <c r="C2" s="4" t="s">
        <v>5</v>
      </c>
      <c r="D2" s="4" t="s">
        <v>5</v>
      </c>
    </row>
    <row r="3" spans="1:4" ht="32.1" customHeight="1">
      <c r="A3" s="5" t="s">
        <v>1154</v>
      </c>
      <c r="B3" s="5" t="s">
        <v>1155</v>
      </c>
      <c r="C3" s="5" t="s">
        <v>1156</v>
      </c>
      <c r="D3" s="5" t="s">
        <v>1157</v>
      </c>
    </row>
    <row r="4" spans="1:4" ht="21.95" customHeight="1">
      <c r="A4" s="6">
        <v>7001</v>
      </c>
      <c r="B4" s="2" t="s">
        <v>1158</v>
      </c>
      <c r="C4" s="2" t="s">
        <v>1159</v>
      </c>
      <c r="D4" s="2" t="s">
        <v>1160</v>
      </c>
    </row>
    <row r="5" spans="1:4" ht="21.95" customHeight="1">
      <c r="A5" s="6">
        <v>7002</v>
      </c>
      <c r="B5" s="2" t="s">
        <v>1161</v>
      </c>
      <c r="C5" s="2" t="s">
        <v>1159</v>
      </c>
      <c r="D5" s="2" t="s">
        <v>1162</v>
      </c>
    </row>
    <row r="6" spans="1:4" ht="21.95" customHeight="1">
      <c r="A6" s="6">
        <v>7003</v>
      </c>
      <c r="B6" s="2" t="s">
        <v>1163</v>
      </c>
      <c r="C6" s="2" t="s">
        <v>1159</v>
      </c>
      <c r="D6" s="2" t="s">
        <v>1164</v>
      </c>
    </row>
    <row r="7" spans="1:4" ht="21.95" customHeight="1">
      <c r="A7" s="6">
        <v>7004</v>
      </c>
      <c r="B7" s="2" t="s">
        <v>1165</v>
      </c>
      <c r="C7" s="2" t="s">
        <v>1159</v>
      </c>
      <c r="D7" s="2" t="s">
        <v>1166</v>
      </c>
    </row>
    <row r="8" spans="1:4" ht="21.95" customHeight="1">
      <c r="A8" s="6">
        <v>7005</v>
      </c>
      <c r="B8" s="2" t="s">
        <v>1167</v>
      </c>
      <c r="C8" s="2" t="s">
        <v>1159</v>
      </c>
      <c r="D8" s="2" t="s">
        <v>1168</v>
      </c>
    </row>
    <row r="9" spans="1:4" ht="21.95" customHeight="1">
      <c r="A9" s="6">
        <v>7006</v>
      </c>
      <c r="B9" s="2" t="s">
        <v>1169</v>
      </c>
      <c r="C9" s="2" t="s">
        <v>1159</v>
      </c>
      <c r="D9" s="2" t="s">
        <v>1170</v>
      </c>
    </row>
    <row r="10" spans="1:4" ht="21.95" customHeight="1">
      <c r="A10" s="6">
        <v>7007</v>
      </c>
      <c r="B10" s="2" t="s">
        <v>1171</v>
      </c>
      <c r="C10" s="2" t="s">
        <v>1159</v>
      </c>
      <c r="D10" s="2" t="s">
        <v>1172</v>
      </c>
    </row>
    <row r="11" spans="1:4" ht="21.95" customHeight="1">
      <c r="A11" s="6">
        <v>7008</v>
      </c>
      <c r="B11" s="2" t="s">
        <v>1173</v>
      </c>
      <c r="C11" s="2" t="s">
        <v>1159</v>
      </c>
      <c r="D11" s="2" t="s">
        <v>1174</v>
      </c>
    </row>
    <row r="12" spans="1:4" ht="21.95" customHeight="1">
      <c r="A12" s="6">
        <v>7009</v>
      </c>
      <c r="B12" s="2" t="s">
        <v>1175</v>
      </c>
      <c r="C12" s="2" t="s">
        <v>1159</v>
      </c>
      <c r="D12" s="2" t="s">
        <v>1176</v>
      </c>
    </row>
    <row r="13" spans="1:4" ht="21.95" customHeight="1">
      <c r="A13" s="6">
        <v>7010</v>
      </c>
      <c r="B13" s="2" t="s">
        <v>1177</v>
      </c>
      <c r="C13" s="2" t="s">
        <v>1159</v>
      </c>
      <c r="D13" s="2" t="s">
        <v>1178</v>
      </c>
    </row>
    <row r="14" spans="1:4" ht="21.95" customHeight="1">
      <c r="A14" s="6">
        <v>7011</v>
      </c>
      <c r="B14" s="2" t="s">
        <v>1179</v>
      </c>
      <c r="C14" s="2" t="s">
        <v>1159</v>
      </c>
      <c r="D14" s="2" t="s">
        <v>1180</v>
      </c>
    </row>
    <row r="15" spans="1:4" ht="21.95" customHeight="1">
      <c r="A15" s="6">
        <v>7012</v>
      </c>
      <c r="B15" s="2" t="s">
        <v>1181</v>
      </c>
      <c r="C15" s="2" t="s">
        <v>1159</v>
      </c>
      <c r="D15" s="2" t="s">
        <v>1182</v>
      </c>
    </row>
    <row r="16" spans="1:4" ht="21.95" customHeight="1">
      <c r="A16" s="6">
        <v>7013</v>
      </c>
      <c r="B16" s="2" t="s">
        <v>1183</v>
      </c>
      <c r="C16" s="2" t="s">
        <v>1159</v>
      </c>
      <c r="D16" s="2" t="s">
        <v>1184</v>
      </c>
    </row>
    <row r="17" spans="1:4" ht="21.95" customHeight="1">
      <c r="A17" s="6">
        <v>7014</v>
      </c>
      <c r="B17" s="2" t="s">
        <v>1185</v>
      </c>
      <c r="C17" s="2" t="s">
        <v>1159</v>
      </c>
      <c r="D17" s="2" t="s">
        <v>1186</v>
      </c>
    </row>
    <row r="18" spans="1:4" ht="21.95" customHeight="1">
      <c r="A18" s="6">
        <v>7015</v>
      </c>
      <c r="B18" s="2" t="s">
        <v>1187</v>
      </c>
      <c r="C18" s="2" t="s">
        <v>1159</v>
      </c>
      <c r="D18" s="2" t="s">
        <v>1188</v>
      </c>
    </row>
    <row r="19" spans="1:4" ht="21.95" customHeight="1">
      <c r="A19" s="6">
        <v>7016</v>
      </c>
      <c r="B19" s="2" t="s">
        <v>1189</v>
      </c>
      <c r="C19" s="2" t="s">
        <v>1159</v>
      </c>
      <c r="D19" s="2" t="s">
        <v>1190</v>
      </c>
    </row>
    <row r="20" spans="1:4" ht="21.95" customHeight="1">
      <c r="A20" s="6">
        <v>7017</v>
      </c>
      <c r="B20" s="2" t="s">
        <v>1191</v>
      </c>
      <c r="C20" s="2" t="s">
        <v>1159</v>
      </c>
      <c r="D20" s="2" t="s">
        <v>1192</v>
      </c>
    </row>
    <row r="21" spans="1:4" ht="21.95" customHeight="1">
      <c r="A21" s="6">
        <v>7018</v>
      </c>
      <c r="B21" s="2" t="s">
        <v>1193</v>
      </c>
      <c r="C21" s="2" t="s">
        <v>1159</v>
      </c>
      <c r="D21" s="2" t="s">
        <v>1194</v>
      </c>
    </row>
    <row r="22" spans="1:4" ht="21.95" customHeight="1">
      <c r="A22" s="6">
        <v>7019</v>
      </c>
      <c r="B22" s="2" t="s">
        <v>1195</v>
      </c>
      <c r="C22" s="2" t="s">
        <v>1159</v>
      </c>
      <c r="D22" s="2" t="s">
        <v>1196</v>
      </c>
    </row>
    <row r="23" spans="1:4" ht="21.95" customHeight="1">
      <c r="A23" s="6">
        <v>7020</v>
      </c>
      <c r="B23" s="2" t="s">
        <v>1197</v>
      </c>
      <c r="C23" s="2" t="s">
        <v>1159</v>
      </c>
      <c r="D23" s="2" t="s">
        <v>1198</v>
      </c>
    </row>
    <row r="24" spans="1:4" ht="21.95" customHeight="1">
      <c r="A24" s="6">
        <v>7021</v>
      </c>
      <c r="B24" s="2" t="s">
        <v>1199</v>
      </c>
      <c r="C24" s="2" t="s">
        <v>1159</v>
      </c>
      <c r="D24" s="2" t="s">
        <v>1200</v>
      </c>
    </row>
    <row r="25" spans="1:4" ht="21.95" customHeight="1">
      <c r="A25" s="6">
        <v>7022</v>
      </c>
      <c r="B25" s="2" t="s">
        <v>1201</v>
      </c>
      <c r="C25" s="2" t="s">
        <v>1159</v>
      </c>
      <c r="D25" s="2" t="s">
        <v>1202</v>
      </c>
    </row>
    <row r="26" spans="1:4" ht="21.95" customHeight="1">
      <c r="A26" s="6">
        <v>7023</v>
      </c>
      <c r="B26" s="2" t="s">
        <v>1203</v>
      </c>
      <c r="C26" s="2" t="s">
        <v>1159</v>
      </c>
      <c r="D26" s="2" t="s">
        <v>1204</v>
      </c>
    </row>
    <row r="27" spans="1:4" ht="21.95" customHeight="1">
      <c r="A27" s="6">
        <v>7024</v>
      </c>
      <c r="B27" s="2" t="s">
        <v>1205</v>
      </c>
      <c r="C27" s="2" t="s">
        <v>1159</v>
      </c>
      <c r="D27" s="2" t="s">
        <v>1206</v>
      </c>
    </row>
    <row r="28" spans="1:4" ht="21.95" customHeight="1">
      <c r="A28" s="6">
        <v>7025</v>
      </c>
      <c r="B28" s="2" t="s">
        <v>1207</v>
      </c>
      <c r="C28" s="2" t="s">
        <v>1159</v>
      </c>
      <c r="D28" s="2" t="s">
        <v>1208</v>
      </c>
    </row>
    <row r="29" spans="1:4" ht="21.95" customHeight="1">
      <c r="A29" s="6">
        <v>7026</v>
      </c>
      <c r="B29" s="2" t="s">
        <v>1209</v>
      </c>
      <c r="C29" s="2" t="s">
        <v>1159</v>
      </c>
      <c r="D29" s="2" t="s">
        <v>1210</v>
      </c>
    </row>
    <row r="30" spans="1:4" ht="21.95" customHeight="1">
      <c r="A30" s="6">
        <v>7027</v>
      </c>
      <c r="B30" s="2" t="s">
        <v>1211</v>
      </c>
      <c r="C30" s="2" t="s">
        <v>1159</v>
      </c>
      <c r="D30" s="2" t="s">
        <v>1212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info</vt:lpstr>
      <vt:lpstr>적</vt:lpstr>
      <vt:lpstr>보스</vt:lpstr>
      <vt:lpstr>꼬마</vt:lpstr>
      <vt:lpstr>업그레이드</vt:lpstr>
      <vt:lpstr>스테이지</vt:lpstr>
      <vt:lpstr>리소스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2026-10-30T03:38:29Z</dcterms:modified>
</cp:coreProperties>
</file>